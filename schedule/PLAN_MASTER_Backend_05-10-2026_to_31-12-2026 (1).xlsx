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892fd26634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_MASTER" sheetId="1" r:id="R5a3e1cfa0ef74374"/>
    <x:sheet xmlns:r="http://schemas.openxmlformats.org/officeDocument/2006/relationships" name="README" sheetId="2" r:id="R8bae78a968584a5c"/>
    <x:sheet xmlns:r="http://schemas.openxmlformats.org/officeDocument/2006/relationships" name="00_SUMMARY" sheetId="3" r:id="R8ddc938c1b5748f5"/>
    <x:sheet xmlns:r="http://schemas.openxmlformats.org/officeDocument/2006/relationships" name="LISTS" sheetId="4" r:id="Rcdbc8ebdd26d44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F172A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i/>
      <x:sz val="11"/>
      <x:color rgb="FF07598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  <x:fill>
      <x:patternFill patternType="solid">
        <x:fgColor rgb="FFE0F2FE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vertical="top" wrapText="1"/>
    </x:xf>
    <x:xf numFmtId="200" fontId="0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200" fontId="0" fillId="3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</x:font>
      <x:fill>
        <x:patternFill patternType="solid">
          <x:bgColor rgb="FFFEF3C7"/>
        </x:patternFill>
      </x:fill>
    </x:dxf>
    <x:dxf>
      <x:font>
        <x:b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f4402f629d4f37" /><Relationship Type="http://schemas.openxmlformats.org/officeDocument/2006/relationships/theme" Target="/xl/theme/theme1.xml" Id="R24f47f7df7ac4919" /><Relationship Type="http://schemas.openxmlformats.org/officeDocument/2006/relationships/sharedStrings" Target="/xl/sharedStrings.xml" Id="Rccee49a1678a4279" /><Relationship Type="http://schemas.openxmlformats.org/officeDocument/2006/relationships/worksheet" Target="/xl/worksheets/sheet1.xml" Id="R5a3e1cfa0ef74374" /><Relationship Type="http://schemas.openxmlformats.org/officeDocument/2006/relationships/worksheet" Target="/xl/worksheets/sheet2.xml" Id="R8bae78a968584a5c" /><Relationship Type="http://schemas.openxmlformats.org/officeDocument/2006/relationships/worksheet" Target="/xl/worksheets/sheet3.xml" Id="R8ddc938c1b5748f5" /><Relationship Type="http://schemas.openxmlformats.org/officeDocument/2006/relationships/worksheet" Target="/xl/worksheets/sheet4.xml" Id="Rcdbc8ebdd26d44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2816188a564b3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Số lượng nhiệm vụ theo Macro Phase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Start</c:v>
          </c:tx>
          <c:cat>
            <c:strRef>
              <c:f>'00_SUMMARY'!$A$12:$A$19</c:f>
              <c:strCache>
                <c:ptCount val="0"/>
              </c:strCache>
            </c:strRef>
          </c:cat>
          <c:val>
            <c:numRef>
              <c:f>'00_SUMMARY'!$B$12:$B$19</c:f>
              <c:numCache>
                <c:formatCode>dd/mm/yyyy</c:formatCode>
                <c:ptCount val="0"/>
              </c:numCache>
            </c:numRef>
          </c:val>
        </c:ser>
        <c:ser>
          <c:idx val="1"/>
          <c:order val="1"/>
          <c:tx>
            <c:v>End</c:v>
          </c:tx>
          <c:cat>
            <c:strRef>
              <c:f>'00_SUMMARY'!$A$12:$A$19</c:f>
              <c:strCache>
                <c:ptCount val="0"/>
              </c:strCache>
            </c:strRef>
          </c:cat>
          <c:val>
            <c:numRef>
              <c:f>'00_SUMMARY'!$C$12:$C$19</c:f>
              <c:numCache>
                <c:formatCode>dd/mm/yyyy</c:formatCode>
                <c:ptCount val="0"/>
              </c:numCache>
            </c:numRef>
          </c:val>
        </c:ser>
        <c:ser>
          <c:idx val="2"/>
          <c:order val="2"/>
          <c:tx>
            <c:v>Task Count</c:v>
          </c:tx>
          <c:cat>
            <c:strRef>
              <c:f>'00_SUMMARY'!$A$12:$A$19</c:f>
              <c:strCache>
                <c:ptCount val="0"/>
              </c:strCache>
            </c:strRef>
          </c:cat>
          <c:val>
            <c:numRef>
              <c:f>'00_SUMMARY'!$D$12:$D$19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2816188a564b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lanMasterTable" displayName="PlanMasterTable" ref="A1:T120" headerRowCount="1" totalsRowCount="0" totalsRowShown="0">
  <x:tableColumns count="20">
    <x:tableColumn id="1" name="Task ID"/>
    <x:tableColumn id="2" name="Macro Phase"/>
    <x:tableColumn id="3" name="Phase"/>
    <x:tableColumn id="4" name="Work Package"/>
    <x:tableColumn id="5" name="Start Date"/>
    <x:tableColumn id="6" name="End Date"/>
    <x:tableColumn id="7" name="Duration (days)"/>
    <x:tableColumn id="8" name="Backend Task"/>
    <x:tableColumn id="9" name="Task Type"/>
    <x:tableColumn id="10" name="Expected Outcome"/>
    <x:tableColumn id="11" name="Scope / Reference"/>
    <x:tableColumn id="12" name="FE Alignment"/>
    <x:tableColumn id="13" name="Milestone"/>
    <x:tableColumn id="14" name="Dependency IDs"/>
    <x:tableColumn id="15" name="Priority"/>
    <x:tableColumn id="16" name="Owner"/>
    <x:tableColumn id="17" name="Status"/>
    <x:tableColumn id="18" name="Week"/>
    <x:tableColumn id="19" name="Hierarchy Path"/>
    <x:tableColumn id="20" name="Trello Mapp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cb4e41bb5940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96d17ff43374ee6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6" hidden="0" customWidth="1"/>
    <x:col min="4" max="4" width="24" hidden="0" customWidth="1"/>
    <x:col min="5" max="5" width="12" hidden="0" customWidth="1"/>
    <x:col min="6" max="6" width="12" hidden="0" customWidth="1"/>
    <x:col min="7" max="7" width="12" hidden="0" customWidth="1"/>
    <x:col min="8" max="8" width="48" hidden="0" customWidth="1"/>
    <x:col min="9" max="9" width="14" hidden="0" customWidth="1"/>
    <x:col min="10" max="10" width="45" hidden="0" customWidth="1"/>
    <x:col min="11" max="11" width="32" hidden="0" customWidth="1"/>
    <x:col min="12" max="12" width="35" hidden="0" customWidth="1"/>
    <x:col min="13" max="13" width="28" hidden="0" customWidth="1"/>
    <x:col min="14" max="14" width="18" hidden="0" customWidth="1"/>
    <x:col min="15" max="15" width="10" hidden="0" customWidth="1"/>
    <x:col min="16" max="16" width="11" hidden="0" customWidth="1"/>
    <x:col min="17" max="17" width="15" hidden="0" customWidth="1"/>
    <x:col min="18" max="18" width="8" hidden="0" customWidth="1"/>
    <x:col min="19" max="19" width="70" hidden="0" customWidth="1"/>
    <x:col min="20" max="20" width="48" hidden="0" customWidth="1"/>
  </x:cols>
  <x:sheetData>
    <x:row r="1" ht="32" customHeight="1">
      <x:c r="A1" s="6" t="str">
        <x:v>Task ID</x:v>
      </x:c>
      <x:c r="B1" s="6" t="str">
        <x:v>Macro Phase</x:v>
      </x:c>
      <x:c r="C1" s="6" t="str">
        <x:v>Phase</x:v>
      </x:c>
      <x:c r="D1" s="6" t="str">
        <x:v>Work Package</x:v>
      </x:c>
      <x:c r="E1" s="6" t="str">
        <x:v>Start Date</x:v>
      </x:c>
      <x:c r="F1" s="6" t="str">
        <x:v>End Date</x:v>
      </x:c>
      <x:c r="G1" s="6" t="str">
        <x:v>Duration (days)</x:v>
      </x:c>
      <x:c r="H1" s="6" t="str">
        <x:v>Backend Task</x:v>
      </x:c>
      <x:c r="I1" s="6" t="str">
        <x:v>Task Type</x:v>
      </x:c>
      <x:c r="J1" s="6" t="str">
        <x:v>Expected Outcome</x:v>
      </x:c>
      <x:c r="K1" s="6" t="str">
        <x:v>Scope / Reference</x:v>
      </x:c>
      <x:c r="L1" s="6" t="str">
        <x:v>FE Alignment</x:v>
      </x:c>
      <x:c r="M1" s="6" t="str">
        <x:v>Milestone</x:v>
      </x:c>
      <x:c r="N1" s="6" t="str">
        <x:v>Dependency IDs</x:v>
      </x:c>
      <x:c r="O1" s="6" t="str">
        <x:v>Priority</x:v>
      </x:c>
      <x:c r="P1" s="6" t="str">
        <x:v>Owner</x:v>
      </x:c>
      <x:c r="Q1" s="6" t="str">
        <x:v>Status</x:v>
      </x:c>
      <x:c r="R1" s="6" t="str">
        <x:v>Week</x:v>
      </x:c>
      <x:c r="S1" s="6" t="str">
        <x:v>Hierarchy Path</x:v>
      </x:c>
      <x:c r="T1" s="6" t="str">
        <x:v>Trello Mapping</x:v>
      </x:c>
    </x:row>
    <x:row r="2" ht="42" customHeight="1">
      <x:c r="A2" s="24" t="str">
        <x:v>A1.01</x:v>
      </x:c>
      <x:c r="B2" s="24" t="str">
        <x:v>A — Foundation &amp; Readiness</x:v>
      </x:c>
      <x:c r="C2" s="24" t="str">
        <x:v>A1 — Project bootstrap</x:v>
      </x:c>
      <x:c r="D2" s="24" t="str">
        <x:v>Project initialization</x:v>
      </x:c>
      <x:c r="E2" s="25" t="n">
        <x:v>46300</x:v>
      </x:c>
      <x:c r="F2" s="25" t="n">
        <x:v>46300</x:v>
      </x:c>
      <x:c r="G2" s="26" t="n">
        <x:f>F2-E2+1</x:f>
        <x:v>1</x:v>
      </x:c>
      <x:c r="H2" s="24" t="str">
        <x:v>Khởi tạo repository Backend và bộ khung dự án FastAPI theo tài liệu kiến trúc</x:v>
      </x:c>
      <x:c r="I2" s="24" t="str">
        <x:v>Setup</x:v>
      </x:c>
      <x:c r="J2" s="24" t="str">
        <x:v>Có repository và bộ khung Backend chạy được ở local</x:v>
      </x:c>
      <x:c r="K2" s="24" t="str">
        <x:v>10 §6.1–6.2</x:v>
      </x:c>
      <x:c r="L2" s="24" t="str">
        <x:v>FE có thể chuẩn bị môi trường gọi API</x:v>
      </x:c>
      <x:c r="M2" s="24" t="str"/>
      <x:c r="N2" s="24" t="str"/>
      <x:c r="O2" s="26" t="str">
        <x:v>P0</x:v>
      </x:c>
      <x:c r="P2" s="26" t="str">
        <x:v>Backend</x:v>
      </x:c>
      <x:c r="Q2" s="26" t="str">
        <x:v>Not Started</x:v>
      </x:c>
      <x:c r="R2" s="26" t="str">
        <x:f>"W"&amp;INT((E2-DATE(2026,10,5))/7)+1</x:f>
        <x:v>W1</x:v>
      </x:c>
      <x:c r="S2" s="24" t="str">
        <x:v>A — Foundation &amp; Readiness &gt; A1 — Project bootstrap &gt; Project initialization</x:v>
      </x:c>
      <x:c r="T2" s="24" t="str">
        <x:v>List = Macro Phase; Card = Work Package; Checklist = Task</x:v>
      </x:c>
    </x:row>
    <x:row r="3" ht="42" customHeight="1">
      <x:c r="A3" s="24" t="str">
        <x:v>A1.02</x:v>
      </x:c>
      <x:c r="B3" s="24" t="str">
        <x:v>A — Foundation &amp; Readiness</x:v>
      </x:c>
      <x:c r="C3" s="24" t="str">
        <x:v>A1 — Project bootstrap</x:v>
      </x:c>
      <x:c r="D3" s="24" t="str">
        <x:v>Environment setup</x:v>
      </x:c>
      <x:c r="E3" s="25" t="n">
        <x:v>46300</x:v>
      </x:c>
      <x:c r="F3" s="25" t="n">
        <x:v>46301</x:v>
      </x:c>
      <x:c r="G3" s="26" t="n">
        <x:f>F3-E3+1</x:f>
        <x:v>2</x:v>
      </x:c>
      <x:c r="H3" s="24" t="str">
        <x:v>Chuẩn bị môi trường local, file cấu hình và quy ước biến môi trường cho dev/staging</x:v>
      </x:c>
      <x:c r="I3" s="24" t="str">
        <x:v>Setup</x:v>
      </x:c>
      <x:c r="J3" s="24" t="str">
        <x:v>Có cách cấu hình nhất quán cho local và staging; không hard-code secret</x:v>
      </x:c>
      <x:c r="K3" s="24" t="str">
        <x:v>10 §3.1, §6.2, §8</x:v>
      </x:c>
      <x:c r="L3" s="24" t="str">
        <x:v>FE có thể chuẩn bị base URL theo môi trường</x:v>
      </x:c>
      <x:c r="M3" s="24" t="str"/>
      <x:c r="N3" s="24" t="str">
        <x:v>A1.01</x:v>
      </x:c>
      <x:c r="O3" s="26" t="str">
        <x:v>P0</x:v>
      </x:c>
      <x:c r="P3" s="26" t="str">
        <x:v>Backend</x:v>
      </x:c>
      <x:c r="Q3" s="26" t="str">
        <x:v>Not Started</x:v>
      </x:c>
      <x:c r="R3" s="26" t="str">
        <x:f>"W"&amp;INT((E3-DATE(2026,10,5))/7)+1</x:f>
        <x:v>W1</x:v>
      </x:c>
      <x:c r="S3" s="24" t="str">
        <x:v>A — Foundation &amp; Readiness &gt; A1 — Project bootstrap &gt; Environment setup</x:v>
      </x:c>
      <x:c r="T3" s="24" t="str">
        <x:v>List = Macro Phase; Card = Work Package; Checklist = Task</x:v>
      </x:c>
    </x:row>
    <x:row r="4" ht="42" customHeight="1">
      <x:c r="A4" s="24" t="str">
        <x:v>A1.03</x:v>
      </x:c>
      <x:c r="B4" s="24" t="str">
        <x:v>A — Foundation &amp; Readiness</x:v>
      </x:c>
      <x:c r="C4" s="24" t="str">
        <x:v>A1 — Project bootstrap</x:v>
      </x:c>
      <x:c r="D4" s="24" t="str">
        <x:v>API documentation baseline</x:v>
      </x:c>
      <x:c r="E4" s="25" t="n">
        <x:v>46301</x:v>
      </x:c>
      <x:c r="F4" s="25" t="n">
        <x:v>46301</x:v>
      </x:c>
      <x:c r="G4" s="26" t="n">
        <x:f>F4-E4+1</x:f>
        <x:v>1</x:v>
      </x:c>
      <x:c r="H4" s="24" t="str">
        <x:v>Thiết lập Swagger/OpenAPI base, security Bearer, response wrapper và error schema dùng chung</x:v>
      </x:c>
      <x:c r="I4" s="24" t="str">
        <x:v>Backend</x:v>
      </x:c>
      <x:c r="J4" s="24" t="str">
        <x:v>Mở được /docs và có hợp đồng chung để FE dùng trong các vòng tích hợp</x:v>
      </x:c>
      <x:c r="K4" s="24" t="str">
        <x:v>08 quy ước chung; 10 §3.1</x:v>
      </x:c>
      <x:c r="L4" s="24" t="str">
        <x:v>FE có thể bắt đầu theo OpenAPI từ sớm</x:v>
      </x:c>
      <x:c r="M4" s="24" t="str"/>
      <x:c r="N4" s="24" t="str">
        <x:v>A1.01</x:v>
      </x:c>
      <x:c r="O4" s="26" t="str">
        <x:v>P0</x:v>
      </x:c>
      <x:c r="P4" s="26" t="str">
        <x:v>Backend</x:v>
      </x:c>
      <x:c r="Q4" s="26" t="str">
        <x:v>Not Started</x:v>
      </x:c>
      <x:c r="R4" s="26" t="str">
        <x:f>"W"&amp;INT((E4-DATE(2026,10,5))/7)+1</x:f>
        <x:v>W1</x:v>
      </x:c>
      <x:c r="S4" s="24" t="str">
        <x:v>A — Foundation &amp; Readiness &gt; A1 — Project bootstrap &gt; API documentation baseline</x:v>
      </x:c>
      <x:c r="T4" s="24" t="str">
        <x:v>List = Macro Phase; Card = Work Package; Checklist = Task</x:v>
      </x:c>
    </x:row>
    <x:row r="5" ht="42" customHeight="1">
      <x:c r="A5" s="24" t="str">
        <x:v>A1.04</x:v>
      </x:c>
      <x:c r="B5" s="24" t="str">
        <x:v>A — Foundation &amp; Readiness</x:v>
      </x:c>
      <x:c r="C5" s="24" t="str">
        <x:v>A1 — Project bootstrap</x:v>
      </x:c>
      <x:c r="D5" s="24" t="str">
        <x:v>Core conventions</x:v>
      </x:c>
      <x:c r="E5" s="25" t="n">
        <x:v>46301</x:v>
      </x:c>
      <x:c r="F5" s="25" t="n">
        <x:v>46301</x:v>
      </x:c>
      <x:c r="G5" s="26" t="n">
        <x:f>F5-E5+1</x:f>
        <x:v>1</x:v>
      </x:c>
      <x:c r="H5" s="24" t="str">
        <x:v>Chốt quy ước HTTP status, error code, pagination và format response thống nhất với tài liệu 08</x:v>
      </x:c>
      <x:c r="I5" s="24" t="str">
        <x:v>Backend</x:v>
      </x:c>
      <x:c r="J5" s="24" t="str">
        <x:v>Tất cả nhóm API dùng cùng một chuẩn response/error</x:v>
      </x:c>
      <x:c r="K5" s="24" t="str">
        <x:v>08 §Quy ước tài liệu, Phụ lục A–C</x:v>
      </x:c>
      <x:c r="L5" s="24" t="str">
        <x:v>FE có thể tích hợp thống nhất</x:v>
      </x:c>
      <x:c r="M5" s="24" t="str"/>
      <x:c r="N5" s="24" t="str">
        <x:v>A1.03</x:v>
      </x:c>
      <x:c r="O5" s="26" t="str">
        <x:v>P0</x:v>
      </x:c>
      <x:c r="P5" s="26" t="str">
        <x:v>Backend</x:v>
      </x:c>
      <x:c r="Q5" s="26" t="str">
        <x:v>Not Started</x:v>
      </x:c>
      <x:c r="R5" s="26" t="str">
        <x:f>"W"&amp;INT((E5-DATE(2026,10,5))/7)+1</x:f>
        <x:v>W1</x:v>
      </x:c>
      <x:c r="S5" s="24" t="str">
        <x:v>A — Foundation &amp; Readiness &gt; A1 — Project bootstrap &gt; Core conventions</x:v>
      </x:c>
      <x:c r="T5" s="24" t="str">
        <x:v>List = Macro Phase; Card = Work Package; Checklist = Task</x:v>
      </x:c>
    </x:row>
    <x:row r="6" ht="42" customHeight="1">
      <x:c r="A6" s="24" t="str">
        <x:v>A2.01</x:v>
      </x:c>
      <x:c r="B6" s="24" t="str">
        <x:v>A — Foundation &amp; Readiness</x:v>
      </x:c>
      <x:c r="C6" s="24" t="str">
        <x:v>A2 — AWS infrastructure</x:v>
      </x:c>
      <x:c r="D6" s="24" t="str">
        <x:v>AWS account &amp; billing</x:v>
      </x:c>
      <x:c r="E6" s="25" t="n">
        <x:v>46302</x:v>
      </x:c>
      <x:c r="F6" s="25" t="n">
        <x:v>46302</x:v>
      </x:c>
      <x:c r="G6" s="26" t="n">
        <x:f>F6-E6+1</x:f>
        <x:v>1</x:v>
      </x:c>
      <x:c r="H6" s="24" t="str">
        <x:v>Tạo/hoàn tất AWS account, xác minh thanh toán và bật cảnh báo chi phí cơ bản</x:v>
      </x:c>
      <x:c r="I6" s="24" t="str">
        <x:v>Setup</x:v>
      </x:c>
      <x:c r="J6" s="24" t="str">
        <x:v>AWS account sẵn sàng để tạo hạ tầng và có kiểm soát chi phí</x:v>
      </x:c>
      <x:c r="K6" s="24" t="str">
        <x:v>10 §3.0</x:v>
      </x:c>
      <x:c r="L6" s="24" t="str">
        <x:v>Không có phụ thuộc FE</x:v>
      </x:c>
      <x:c r="M6" s="24" t="str"/>
      <x:c r="N6" s="24" t="str">
        <x:v>A1.01</x:v>
      </x:c>
      <x:c r="O6" s="26" t="str">
        <x:v>P0</x:v>
      </x:c>
      <x:c r="P6" s="26" t="str">
        <x:v>Backend</x:v>
      </x:c>
      <x:c r="Q6" s="26" t="str">
        <x:v>Not Started</x:v>
      </x:c>
      <x:c r="R6" s="26" t="str">
        <x:f>"W"&amp;INT((E6-DATE(2026,10,5))/7)+1</x:f>
        <x:v>W1</x:v>
      </x:c>
      <x:c r="S6" s="24" t="str">
        <x:v>A — Foundation &amp; Readiness &gt; A2 — AWS infrastructure &gt; AWS account &amp; billing</x:v>
      </x:c>
      <x:c r="T6" s="24" t="str">
        <x:v>List = Macro Phase; Card = Work Package; Checklist = Task</x:v>
      </x:c>
    </x:row>
    <x:row r="7" ht="42" customHeight="1">
      <x:c r="A7" s="24" t="str">
        <x:v>A2.02</x:v>
      </x:c>
      <x:c r="B7" s="24" t="str">
        <x:v>A — Foundation &amp; Readiness</x:v>
      </x:c>
      <x:c r="C7" s="24" t="str">
        <x:v>A2 — AWS infrastructure</x:v>
      </x:c>
      <x:c r="D7" s="24" t="str">
        <x:v>IAM</x:v>
      </x:c>
      <x:c r="E7" s="25" t="n">
        <x:v>46302</x:v>
      </x:c>
      <x:c r="F7" s="25" t="n">
        <x:v>46302</x:v>
      </x:c>
      <x:c r="G7" s="26" t="n">
        <x:f>F7-E7+1</x:f>
        <x:v>1</x:v>
      </x:c>
      <x:c r="H7" s="24" t="str">
        <x:v>Tạo IAM role/quyền cần thiết để EC2 truy cập các dịch vụ AWS theo phạm vi dự án</x:v>
      </x:c>
      <x:c r="I7" s="24" t="str">
        <x:v>Setup</x:v>
      </x:c>
      <x:c r="J7" s="24" t="str">
        <x:v>EC2 có quyền tối thiểu cần thiết; không dùng credential nhúng vào code</x:v>
      </x:c>
      <x:c r="K7" s="24" t="str">
        <x:v>10 §3.0, §8.3</x:v>
      </x:c>
      <x:c r="L7" s="24" t="str">
        <x:v>Không có phụ thuộc FE</x:v>
      </x:c>
      <x:c r="M7" s="24" t="str"/>
      <x:c r="N7" s="24" t="str">
        <x:v>A2.01</x:v>
      </x:c>
      <x:c r="O7" s="26" t="str">
        <x:v>P0</x:v>
      </x:c>
      <x:c r="P7" s="26" t="str">
        <x:v>Backend</x:v>
      </x:c>
      <x:c r="Q7" s="26" t="str">
        <x:v>Not Started</x:v>
      </x:c>
      <x:c r="R7" s="26" t="str">
        <x:f>"W"&amp;INT((E7-DATE(2026,10,5))/7)+1</x:f>
        <x:v>W1</x:v>
      </x:c>
      <x:c r="S7" s="24" t="str">
        <x:v>A — Foundation &amp; Readiness &gt; A2 — AWS infrastructure &gt; IAM</x:v>
      </x:c>
      <x:c r="T7" s="24" t="str">
        <x:v>List = Macro Phase; Card = Work Package; Checklist = Task</x:v>
      </x:c>
    </x:row>
    <x:row r="8" ht="42" customHeight="1">
      <x:c r="A8" s="24" t="str">
        <x:v>A2.03</x:v>
      </x:c>
      <x:c r="B8" s="24" t="str">
        <x:v>A — Foundation &amp; Readiness</x:v>
      </x:c>
      <x:c r="C8" s="24" t="str">
        <x:v>A2 — AWS infrastructure</x:v>
      </x:c>
      <x:c r="D8" s="24" t="str">
        <x:v>EC2</x:v>
      </x:c>
      <x:c r="E8" s="25" t="n">
        <x:v>46303</x:v>
      </x:c>
      <x:c r="F8" s="25" t="n">
        <x:v>46303</x:v>
      </x:c>
      <x:c r="G8" s="26" t="n">
        <x:f>F8-E8+1</x:f>
        <x:v>1</x:v>
      </x:c>
      <x:c r="H8" s="24" t="str">
        <x:v>Tạo EC2 instance và chuẩn bị môi trường chạy FastAPI + Worker</x:v>
      </x:c>
      <x:c r="I8" s="24" t="str">
        <x:v>Setup</x:v>
      </x:c>
      <x:c r="J8" s="24" t="str">
        <x:v>Có máy chủ staging cơ bản cho Backend/Worker</x:v>
      </x:c>
      <x:c r="K8" s="24" t="str">
        <x:v>10 §3.0, §4.1</x:v>
      </x:c>
      <x:c r="L8" s="24" t="str">
        <x:v>FE chưa test chức năng</x:v>
      </x:c>
      <x:c r="M8" s="24" t="str"/>
      <x:c r="N8" s="24" t="str">
        <x:v>A2.02</x:v>
      </x:c>
      <x:c r="O8" s="26" t="str">
        <x:v>P0</x:v>
      </x:c>
      <x:c r="P8" s="26" t="str">
        <x:v>Backend</x:v>
      </x:c>
      <x:c r="Q8" s="26" t="str">
        <x:v>Not Started</x:v>
      </x:c>
      <x:c r="R8" s="26" t="str">
        <x:f>"W"&amp;INT((E8-DATE(2026,10,5))/7)+1</x:f>
        <x:v>W1</x:v>
      </x:c>
      <x:c r="S8" s="24" t="str">
        <x:v>A — Foundation &amp; Readiness &gt; A2 — AWS infrastructure &gt; EC2</x:v>
      </x:c>
      <x:c r="T8" s="24" t="str">
        <x:v>List = Macro Phase; Card = Work Package; Checklist = Task</x:v>
      </x:c>
    </x:row>
    <x:row r="9" ht="42" customHeight="1">
      <x:c r="A9" s="24" t="str">
        <x:v>A2.04</x:v>
      </x:c>
      <x:c r="B9" s="24" t="str">
        <x:v>A — Foundation &amp; Readiness</x:v>
      </x:c>
      <x:c r="C9" s="24" t="str">
        <x:v>A2 — AWS infrastructure</x:v>
      </x:c>
      <x:c r="D9" s="24" t="str">
        <x:v>EC2 validation</x:v>
      </x:c>
      <x:c r="E9" s="25" t="n">
        <x:v>46303</x:v>
      </x:c>
      <x:c r="F9" s="25" t="n">
        <x:v>46303</x:v>
      </x:c>
      <x:c r="G9" s="26" t="n">
        <x:f>F9-E9+1</x:f>
        <x:v>1</x:v>
      </x:c>
      <x:c r="H9" s="24" t="str">
        <x:v>Kiểm tra SSH/health/network của EC2 và khả năng chạy ứng dụng Backend</x:v>
      </x:c>
      <x:c r="I9" s="24" t="str">
        <x:v>Verify</x:v>
      </x:c>
      <x:c r="J9" s="24" t="str">
        <x:v>EC2 ổn định, có thể triển khai ứng dụng</x:v>
      </x:c>
      <x:c r="K9" s="24" t="str">
        <x:v>10 §4.1</x:v>
      </x:c>
      <x:c r="L9" s="24" t="str">
        <x:v>FE có thể nhận base URL staging sau khi smoke test</x:v>
      </x:c>
      <x:c r="M9" s="24" t="str"/>
      <x:c r="N9" s="24" t="str">
        <x:v>A2.03</x:v>
      </x:c>
      <x:c r="O9" s="26" t="str">
        <x:v>P0</x:v>
      </x:c>
      <x:c r="P9" s="26" t="str">
        <x:v>Backend</x:v>
      </x:c>
      <x:c r="Q9" s="26" t="str">
        <x:v>Not Started</x:v>
      </x:c>
      <x:c r="R9" s="26" t="str">
        <x:f>"W"&amp;INT((E9-DATE(2026,10,5))/7)+1</x:f>
        <x:v>W1</x:v>
      </x:c>
      <x:c r="S9" s="24" t="str">
        <x:v>A — Foundation &amp; Readiness &gt; A2 — AWS infrastructure &gt; EC2 validation</x:v>
      </x:c>
      <x:c r="T9" s="24" t="str">
        <x:v>List = Macro Phase; Card = Work Package; Checklist = Task</x:v>
      </x:c>
    </x:row>
    <x:row r="10" ht="42" customHeight="1">
      <x:c r="A10" s="24" t="str">
        <x:v>A2.05</x:v>
      </x:c>
      <x:c r="B10" s="24" t="str">
        <x:v>A — Foundation &amp; Readiness</x:v>
      </x:c>
      <x:c r="C10" s="24" t="str">
        <x:v>A2 — AWS infrastructure</x:v>
      </x:c>
      <x:c r="D10" s="24" t="str">
        <x:v>RDS PostgreSQL</x:v>
      </x:c>
      <x:c r="E10" s="25" t="n">
        <x:v>46304</x:v>
      </x:c>
      <x:c r="F10" s="25" t="n">
        <x:v>46304</x:v>
      </x:c>
      <x:c r="G10" s="26" t="n">
        <x:f>F10-E10+1</x:f>
        <x:v>1</x:v>
      </x:c>
      <x:c r="H10" s="24" t="str">
        <x:v>Tạo Amazon RDS for PostgreSQL và cấu hình kết nối từ EC2</x:v>
      </x:c>
      <x:c r="I10" s="24" t="str">
        <x:v>Setup</x:v>
      </x:c>
      <x:c r="J10" s="24" t="str">
        <x:v>EC2 kết nối được RDS PostgreSQL</x:v>
      </x:c>
      <x:c r="K10" s="24" t="str">
        <x:v>09 §2.1; 10 §3.0, §4.1</x:v>
      </x:c>
      <x:c r="L10" s="24" t="str">
        <x:v>FE chưa test chức năng</x:v>
      </x:c>
      <x:c r="M10" s="24" t="str"/>
      <x:c r="N10" s="24" t="str">
        <x:v>A2.04</x:v>
      </x:c>
      <x:c r="O10" s="26" t="str">
        <x:v>P0</x:v>
      </x:c>
      <x:c r="P10" s="26" t="str">
        <x:v>Backend</x:v>
      </x:c>
      <x:c r="Q10" s="26" t="str">
        <x:v>Not Started</x:v>
      </x:c>
      <x:c r="R10" s="26" t="str">
        <x:f>"W"&amp;INT((E10-DATE(2026,10,5))/7)+1</x:f>
        <x:v>W1</x:v>
      </x:c>
      <x:c r="S10" s="24" t="str">
        <x:v>A — Foundation &amp; Readiness &gt; A2 — AWS infrastructure &gt; RDS PostgreSQL</x:v>
      </x:c>
      <x:c r="T10" s="24" t="str">
        <x:v>List = Macro Phase; Card = Work Package; Checklist = Task</x:v>
      </x:c>
    </x:row>
    <x:row r="11" ht="42" customHeight="1">
      <x:c r="A11" s="24" t="str">
        <x:v>A2.06</x:v>
      </x:c>
      <x:c r="B11" s="24" t="str">
        <x:v>A — Foundation &amp; Readiness</x:v>
      </x:c>
      <x:c r="C11" s="24" t="str">
        <x:v>A2 — AWS infrastructure</x:v>
      </x:c>
      <x:c r="D11" s="24" t="str">
        <x:v>pgvector</x:v>
      </x:c>
      <x:c r="E11" s="25" t="n">
        <x:v>46304</x:v>
      </x:c>
      <x:c r="F11" s="25" t="n">
        <x:v>46304</x:v>
      </x:c>
      <x:c r="G11" s="26" t="n">
        <x:f>F11-E11+1</x:f>
        <x:v>1</x:v>
      </x:c>
      <x:c r="H11" s="24" t="str">
        <x:v>Bật/kiểm tra pgvector trên RDS và xác nhận database sẵn sàng cho vector storage</x:v>
      </x:c>
      <x:c r="I11" s="24" t="str">
        <x:v>Setup</x:v>
      </x:c>
      <x:c r="J11" s="24" t="str">
        <x:v>RDS hỗ trợ lưu và truy vấn vector theo kiến trúc</x:v>
      </x:c>
      <x:c r="K11" s="24" t="str">
        <x:v>09 §2.2, §7</x:v>
      </x:c>
      <x:c r="L11" s="24" t="str">
        <x:v>Không có phụ thuộc FE</x:v>
      </x:c>
      <x:c r="M11" s="24" t="str"/>
      <x:c r="N11" s="24" t="str">
        <x:v>A2.05</x:v>
      </x:c>
      <x:c r="O11" s="26" t="str">
        <x:v>P0</x:v>
      </x:c>
      <x:c r="P11" s="26" t="str">
        <x:v>Backend</x:v>
      </x:c>
      <x:c r="Q11" s="26" t="str">
        <x:v>Not Started</x:v>
      </x:c>
      <x:c r="R11" s="26" t="str">
        <x:f>"W"&amp;INT((E11-DATE(2026,10,5))/7)+1</x:f>
        <x:v>W1</x:v>
      </x:c>
      <x:c r="S11" s="24" t="str">
        <x:v>A — Foundation &amp; Readiness &gt; A2 — AWS infrastructure &gt; pgvector</x:v>
      </x:c>
      <x:c r="T11" s="24" t="str">
        <x:v>List = Macro Phase; Card = Work Package; Checklist = Task</x:v>
      </x:c>
    </x:row>
    <x:row r="12" ht="42" customHeight="1">
      <x:c r="A12" s="24" t="str">
        <x:v>A2.07</x:v>
      </x:c>
      <x:c r="B12" s="24" t="str">
        <x:v>A — Foundation &amp; Readiness</x:v>
      </x:c>
      <x:c r="C12" s="24" t="str">
        <x:v>A2 — AWS infrastructure</x:v>
      </x:c>
      <x:c r="D12" s="24" t="str">
        <x:v>S3</x:v>
      </x:c>
      <x:c r="E12" s="25" t="n">
        <x:v>46305</x:v>
      </x:c>
      <x:c r="F12" s="25" t="n">
        <x:v>46305</x:v>
      </x:c>
      <x:c r="G12" s="26" t="n">
        <x:f>F12-E12+1</x:f>
        <x:v>1</x:v>
      </x:c>
      <x:c r="H12" s="24" t="str">
        <x:v>Tạo S3 bucket và cấu hình storage cho raw video, HLS, thumbnail, avatar</x:v>
      </x:c>
      <x:c r="I12" s="24" t="str">
        <x:v>Setup</x:v>
      </x:c>
      <x:c r="J12" s="24" t="str">
        <x:v>Có object storage đúng phạm vi dự án</x:v>
      </x:c>
      <x:c r="K12" s="24" t="str">
        <x:v>10 §3.0, §3.2</x:v>
      </x:c>
      <x:c r="L12" s="24" t="str">
        <x:v>FE chưa test chức năng</x:v>
      </x:c>
      <x:c r="M12" s="24" t="str"/>
      <x:c r="N12" s="24" t="str">
        <x:v>A2.02</x:v>
      </x:c>
      <x:c r="O12" s="26" t="str">
        <x:v>P0</x:v>
      </x:c>
      <x:c r="P12" s="26" t="str">
        <x:v>Backend</x:v>
      </x:c>
      <x:c r="Q12" s="26" t="str">
        <x:v>Not Started</x:v>
      </x:c>
      <x:c r="R12" s="26" t="str">
        <x:f>"W"&amp;INT((E12-DATE(2026,10,5))/7)+1</x:f>
        <x:v>W1</x:v>
      </x:c>
      <x:c r="S12" s="24" t="str">
        <x:v>A — Foundation &amp; Readiness &gt; A2 — AWS infrastructure &gt; S3</x:v>
      </x:c>
      <x:c r="T12" s="24" t="str">
        <x:v>List = Macro Phase; Card = Work Package; Checklist = Task</x:v>
      </x:c>
    </x:row>
    <x:row r="13" ht="42" customHeight="1">
      <x:c r="A13" s="24" t="str">
        <x:v>A2.08</x:v>
      </x:c>
      <x:c r="B13" s="24" t="str">
        <x:v>A — Foundation &amp; Readiness</x:v>
      </x:c>
      <x:c r="C13" s="24" t="str">
        <x:v>A2 — AWS infrastructure</x:v>
      </x:c>
      <x:c r="D13" s="24" t="str">
        <x:v>CloudFront</x:v>
      </x:c>
      <x:c r="E13" s="25" t="n">
        <x:v>46305</x:v>
      </x:c>
      <x:c r="F13" s="25" t="n">
        <x:v>46305</x:v>
      </x:c>
      <x:c r="G13" s="26" t="n">
        <x:f>F13-E13+1</x:f>
        <x:v>1</x:v>
      </x:c>
      <x:c r="H13" s="24" t="str">
        <x:v>Tạo CloudFront distribution và cấu hình origin S3 cho nội dung phân phối</x:v>
      </x:c>
      <x:c r="I13" s="24" t="str">
        <x:v>Setup</x:v>
      </x:c>
      <x:c r="J13" s="24" t="str">
        <x:v>CloudFront có thể phục vụ tài nguyên/HLS từ S3</x:v>
      </x:c>
      <x:c r="K13" s="24" t="str">
        <x:v>10 §3.0, §4.1</x:v>
      </x:c>
      <x:c r="L13" s="24" t="str">
        <x:v>FE có thể dùng URL phân phối sau khi có HLS</x:v>
      </x:c>
      <x:c r="M13" s="24" t="str"/>
      <x:c r="N13" s="24" t="str">
        <x:v>A2.07</x:v>
      </x:c>
      <x:c r="O13" s="26" t="str">
        <x:v>P1</x:v>
      </x:c>
      <x:c r="P13" s="26" t="str">
        <x:v>Backend</x:v>
      </x:c>
      <x:c r="Q13" s="26" t="str">
        <x:v>Not Started</x:v>
      </x:c>
      <x:c r="R13" s="26" t="str">
        <x:f>"W"&amp;INT((E13-DATE(2026,10,5))/7)+1</x:f>
        <x:v>W1</x:v>
      </x:c>
      <x:c r="S13" s="24" t="str">
        <x:v>A — Foundation &amp; Readiness &gt; A2 — AWS infrastructure &gt; CloudFront</x:v>
      </x:c>
      <x:c r="T13" s="24" t="str">
        <x:v>List = Macro Phase; Card = Work Package; Checklist = Task</x:v>
      </x:c>
    </x:row>
    <x:row r="14" ht="42" customHeight="1">
      <x:c r="A14" s="24" t="str">
        <x:v>A2.09</x:v>
      </x:c>
      <x:c r="B14" s="24" t="str">
        <x:v>A — Foundation &amp; Readiness</x:v>
      </x:c>
      <x:c r="C14" s="24" t="str">
        <x:v>A2 — AWS infrastructure</x:v>
      </x:c>
      <x:c r="D14" s="24" t="str">
        <x:v>AWS connectivity smoke test</x:v>
      </x:c>
      <x:c r="E14" s="25" t="n">
        <x:v>46306</x:v>
      </x:c>
      <x:c r="F14" s="25" t="n">
        <x:v>46306</x:v>
      </x:c>
      <x:c r="G14" s="26" t="n">
        <x:f>F14-E14+1</x:f>
        <x:v>1</x:v>
      </x:c>
      <x:c r="H14" s="24" t="str">
        <x:v>Kiểm tra EC2 ↔ RDS và EC2 ↔ S3; lưu cấu hình môi trường staging ổn định</x:v>
      </x:c>
      <x:c r="I14" s="24" t="str">
        <x:v>Verify</x:v>
      </x:c>
      <x:c r="J14" s="24" t="str">
        <x:v>Các kết nối cloud nền tảng hoạt động</x:v>
      </x:c>
      <x:c r="K14" s="24" t="str">
        <x:v>10 §3.2, §4.1</x:v>
      </x:c>
      <x:c r="L14" s="24" t="str">
        <x:v>FE chưa test chức năng</x:v>
      </x:c>
      <x:c r="M14" s="24" t="str">
        <x:v>★ M1 — AWS foundation ready</x:v>
      </x:c>
      <x:c r="N14" s="24" t="str">
        <x:v>A2.05; A2.07</x:v>
      </x:c>
      <x:c r="O14" s="26" t="str">
        <x:v>P0</x:v>
      </x:c>
      <x:c r="P14" s="26" t="str">
        <x:v>Backend</x:v>
      </x:c>
      <x:c r="Q14" s="26" t="str">
        <x:v>Not Started</x:v>
      </x:c>
      <x:c r="R14" s="26" t="str">
        <x:f>"W"&amp;INT((E14-DATE(2026,10,5))/7)+1</x:f>
        <x:v>W1</x:v>
      </x:c>
      <x:c r="S14" s="24" t="str">
        <x:v>A — Foundation &amp; Readiness &gt; A2 — AWS infrastructure &gt; AWS connectivity smoke test</x:v>
      </x:c>
      <x:c r="T14" s="24" t="str">
        <x:v>List = Macro Phase; Card = Work Package; Checklist = Task</x:v>
      </x:c>
    </x:row>
    <x:row r="15" ht="42" customHeight="1">
      <x:c r="A15" s="24" t="str">
        <x:v>A3.01</x:v>
      </x:c>
      <x:c r="B15" s="24" t="str">
        <x:v>A — Foundation &amp; Readiness</x:v>
      </x:c>
      <x:c r="C15" s="24" t="str">
        <x:v>A3 — External services</x:v>
      </x:c>
      <x:c r="D15" s="24" t="str">
        <x:v>Email/OTP service</x:v>
      </x:c>
      <x:c r="E15" s="25" t="n">
        <x:v>46306</x:v>
      </x:c>
      <x:c r="F15" s="25" t="n">
        <x:v>46306</x:v>
      </x:c>
      <x:c r="G15" s="26" t="n">
        <x:f>F15-E15+1</x:f>
        <x:v>1</x:v>
      </x:c>
      <x:c r="H15" s="24" t="str">
        <x:v>Chuẩn bị dịch vụ gửi email, sender email và credential cho OTP/reset password</x:v>
      </x:c>
      <x:c r="I15" s="24" t="str">
        <x:v>Setup</x:v>
      </x:c>
      <x:c r="J15" s="24" t="str">
        <x:v>Có thể gửi email thật từ staging</x:v>
      </x:c>
      <x:c r="K15" s="24" t="str">
        <x:v>08 §1.2–1.8; 10 §6.2</x:v>
      </x:c>
      <x:c r="L15" s="24" t="str">
        <x:v>FE cần để test luồng OTP</x:v>
      </x:c>
      <x:c r="M15" s="24" t="str"/>
      <x:c r="N15" s="24" t="str">
        <x:v>A1.02</x:v>
      </x:c>
      <x:c r="O15" s="26" t="str">
        <x:v>P0</x:v>
      </x:c>
      <x:c r="P15" s="26" t="str">
        <x:v>Backend</x:v>
      </x:c>
      <x:c r="Q15" s="26" t="str">
        <x:v>Not Started</x:v>
      </x:c>
      <x:c r="R15" s="26" t="str">
        <x:f>"W"&amp;INT((E15-DATE(2026,10,5))/7)+1</x:f>
        <x:v>W1</x:v>
      </x:c>
      <x:c r="S15" s="24" t="str">
        <x:v>A — Foundation &amp; Readiness &gt; A3 — External services &gt; Email/OTP service</x:v>
      </x:c>
      <x:c r="T15" s="24" t="str">
        <x:v>List = Macro Phase; Card = Work Package; Checklist = Task</x:v>
      </x:c>
    </x:row>
    <x:row r="16" ht="42" customHeight="1">
      <x:c r="A16" s="24" t="str">
        <x:v>A3.02</x:v>
      </x:c>
      <x:c r="B16" s="24" t="str">
        <x:v>A — Foundation &amp; Readiness</x:v>
      </x:c>
      <x:c r="C16" s="24" t="str">
        <x:v>A3 — External services</x:v>
      </x:c>
      <x:c r="D16" s="24" t="str">
        <x:v>AI credentials</x:v>
      </x:c>
      <x:c r="E16" s="25" t="n">
        <x:v>46306</x:v>
      </x:c>
      <x:c r="F16" s="25" t="n">
        <x:v>46307</x:v>
      </x:c>
      <x:c r="G16" s="26" t="n">
        <x:f>F16-E16+1</x:f>
        <x:v>2</x:v>
      </x:c>
      <x:c r="H16" s="24" t="str">
        <x:v>Chuẩn bị quyền sử dụng OpenAI/Gemini và credential cho embedding/LLM theo stack đã chốt</x:v>
      </x:c>
      <x:c r="I16" s="24" t="str">
        <x:v>Setup</x:v>
      </x:c>
      <x:c r="J16" s="24" t="str">
        <x:v>Có credential sẵn sàng cho giai đoạn AI</x:v>
      </x:c>
      <x:c r="K16" s="24" t="str">
        <x:v>10 §3.0, §3.4; 11 §7, §9</x:v>
      </x:c>
      <x:c r="L16" s="24" t="str">
        <x:v>Chưa cần FE test</x:v>
      </x:c>
      <x:c r="M16" s="24" t="str"/>
      <x:c r="N16" s="24" t="str">
        <x:v>A1.02</x:v>
      </x:c>
      <x:c r="O16" s="26" t="str">
        <x:v>P0</x:v>
      </x:c>
      <x:c r="P16" s="26" t="str">
        <x:v>Backend</x:v>
      </x:c>
      <x:c r="Q16" s="26" t="str">
        <x:v>Not Started</x:v>
      </x:c>
      <x:c r="R16" s="26" t="str">
        <x:f>"W"&amp;INT((E16-DATE(2026,10,5))/7)+1</x:f>
        <x:v>W1</x:v>
      </x:c>
      <x:c r="S16" s="24" t="str">
        <x:v>A — Foundation &amp; Readiness &gt; A3 — External services &gt; AI credentials</x:v>
      </x:c>
      <x:c r="T16" s="24" t="str">
        <x:v>List = Macro Phase; Card = Work Package; Checklist = Task</x:v>
      </x:c>
    </x:row>
    <x:row r="17" ht="42" customHeight="1">
      <x:c r="A17" s="24" t="str">
        <x:v>A3.03</x:v>
      </x:c>
      <x:c r="B17" s="24" t="str">
        <x:v>A — Foundation &amp; Readiness</x:v>
      </x:c>
      <x:c r="C17" s="24" t="str">
        <x:v>A3 — External services</x:v>
      </x:c>
      <x:c r="D17" s="24" t="str">
        <x:v>PayOS account</x:v>
      </x:c>
      <x:c r="E17" s="25" t="n">
        <x:v>46307</x:v>
      </x:c>
      <x:c r="F17" s="25" t="n">
        <x:v>46307</x:v>
      </x:c>
      <x:c r="G17" s="26" t="n">
        <x:f>F17-E17+1</x:f>
        <x:v>1</x:v>
      </x:c>
      <x:c r="H17" s="24" t="str">
        <x:v>Tạo/hoàn tất tài khoản PayOS và payment channel cho môi trường thử nghiệm</x:v>
      </x:c>
      <x:c r="I17" s="24" t="str">
        <x:v>Setup</x:v>
      </x:c>
      <x:c r="J17" s="24" t="str">
        <x:v>Có PayOS channel để lấy credential và test tích hợp sau này</x:v>
      </x:c>
      <x:c r="K17" s="24" t="str">
        <x:v>08 §8; 10 §3.0, §8.4</x:v>
      </x:c>
      <x:c r="L17" s="24" t="str">
        <x:v>Chưa cần FE test</x:v>
      </x:c>
      <x:c r="M17" s="24" t="str"/>
      <x:c r="N17" s="24" t="str">
        <x:v>A1.02</x:v>
      </x:c>
      <x:c r="O17" s="26" t="str">
        <x:v>P1</x:v>
      </x:c>
      <x:c r="P17" s="26" t="str">
        <x:v>Backend</x:v>
      </x:c>
      <x:c r="Q17" s="26" t="str">
        <x:v>Not Started</x:v>
      </x:c>
      <x:c r="R17" s="26" t="str">
        <x:f>"W"&amp;INT((E17-DATE(2026,10,5))/7)+1</x:f>
        <x:v>W2</x:v>
      </x:c>
      <x:c r="S17" s="24" t="str">
        <x:v>A — Foundation &amp; Readiness &gt; A3 — External services &gt; PayOS account</x:v>
      </x:c>
      <x:c r="T17" s="24" t="str">
        <x:v>List = Macro Phase; Card = Work Package; Checklist = Task</x:v>
      </x:c>
    </x:row>
    <x:row r="18" ht="42" customHeight="1">
      <x:c r="A18" s="24" t="str">
        <x:v>A3.04</x:v>
      </x:c>
      <x:c r="B18" s="24" t="str">
        <x:v>A — Foundation &amp; Readiness</x:v>
      </x:c>
      <x:c r="C18" s="24" t="str">
        <x:v>A3 — External services</x:v>
      </x:c>
      <x:c r="D18" s="24" t="str">
        <x:v>PayOS credentials &amp; webhook prep</x:v>
      </x:c>
      <x:c r="E18" s="25" t="n">
        <x:v>46307</x:v>
      </x:c>
      <x:c r="F18" s="25" t="n">
        <x:v>46307</x:v>
      </x:c>
      <x:c r="G18" s="26" t="n">
        <x:f>F18-E18+1</x:f>
        <x:v>1</x:v>
      </x:c>
      <x:c r="H18" s="24" t="str">
        <x:v>Lưu Client ID/API Key/Checksum Key và chuẩn bị địa chỉ webhook staging</x:v>
      </x:c>
      <x:c r="I18" s="24" t="str">
        <x:v>Setup</x:v>
      </x:c>
      <x:c r="J18" s="24" t="str">
        <x:v>Credential và đầu mối webhook được chuẩn bị an toàn</x:v>
      </x:c>
      <x:c r="K18" s="24" t="str">
        <x:v>08 §8.4; 10 §8.4</x:v>
      </x:c>
      <x:c r="L18" s="24" t="str">
        <x:v>FE chưa test chức năng thanh toán</x:v>
      </x:c>
      <x:c r="M18" s="24" t="str"/>
      <x:c r="N18" s="24" t="str">
        <x:v>A3.03; A2.03</x:v>
      </x:c>
      <x:c r="O18" s="26" t="str">
        <x:v>P1</x:v>
      </x:c>
      <x:c r="P18" s="26" t="str">
        <x:v>Backend</x:v>
      </x:c>
      <x:c r="Q18" s="26" t="str">
        <x:v>Not Started</x:v>
      </x:c>
      <x:c r="R18" s="26" t="str">
        <x:f>"W"&amp;INT((E18-DATE(2026,10,5))/7)+1</x:f>
        <x:v>W2</x:v>
      </x:c>
      <x:c r="S18" s="24" t="str">
        <x:v>A — Foundation &amp; Readiness &gt; A3 — External services &gt; PayOS credentials &amp; webhook prep</x:v>
      </x:c>
      <x:c r="T18" s="24" t="str">
        <x:v>List = Macro Phase; Card = Work Package; Checklist = Task</x:v>
      </x:c>
    </x:row>
    <x:row r="19" ht="42" customHeight="1">
      <x:c r="A19" s="24" t="str">
        <x:v>A3.05</x:v>
      </x:c>
      <x:c r="B19" s="24" t="str">
        <x:v>A — Foundation &amp; Readiness</x:v>
      </x:c>
      <x:c r="C19" s="24" t="str">
        <x:v>A3 — External services</x:v>
      </x:c>
      <x:c r="D19" s="24" t="str">
        <x:v>Domain / HTTPS readiness</x:v>
      </x:c>
      <x:c r="E19" s="25" t="n">
        <x:v>46308</x:v>
      </x:c>
      <x:c r="F19" s="25" t="n">
        <x:v>46308</x:v>
      </x:c>
      <x:c r="G19" s="26" t="n">
        <x:f>F19-E19+1</x:f>
        <x:v>1</x:v>
      </x:c>
      <x:c r="H19" s="24" t="str">
        <x:v>Chuẩn bị domain/HTTPS hoặc endpoint staging public cần cho webhook và kiểm tra tích hợp ngoài</x:v>
      </x:c>
      <x:c r="I19" s="24" t="str">
        <x:v>Setup</x:v>
      </x:c>
      <x:c r="J19" s="24" t="str">
        <x:v>Có endpoint HTTPS ổn định cho các dịch vụ ngoài gọi vào staging</x:v>
      </x:c>
      <x:c r="K19" s="24" t="str">
        <x:v>10 §4.1, §8.4</x:v>
      </x:c>
      <x:c r="L19" s="24" t="str">
        <x:v>FE có thể dùng base URL staging ổn định</x:v>
      </x:c>
      <x:c r="M19" s="24" t="str"/>
      <x:c r="N19" s="24" t="str">
        <x:v>A2.03; A3.04</x:v>
      </x:c>
      <x:c r="O19" s="26" t="str">
        <x:v>P1</x:v>
      </x:c>
      <x:c r="P19" s="26" t="str">
        <x:v>Backend</x:v>
      </x:c>
      <x:c r="Q19" s="26" t="str">
        <x:v>Not Started</x:v>
      </x:c>
      <x:c r="R19" s="26" t="str">
        <x:f>"W"&amp;INT((E19-DATE(2026,10,5))/7)+1</x:f>
        <x:v>W2</x:v>
      </x:c>
      <x:c r="S19" s="24" t="str">
        <x:v>A — Foundation &amp; Readiness &gt; A3 — External services &gt; Domain / HTTPS readiness</x:v>
      </x:c>
      <x:c r="T19" s="24" t="str">
        <x:v>List = Macro Phase; Card = Work Package; Checklist = Task</x:v>
      </x:c>
    </x:row>
    <x:row r="20" ht="42" customHeight="1">
      <x:c r="A20" s="24" t="str">
        <x:v>A4.01</x:v>
      </x:c>
      <x:c r="B20" s="24" t="str">
        <x:v>A — Foundation &amp; Readiness</x:v>
      </x:c>
      <x:c r="C20" s="24" t="str">
        <x:v>A4 — Database initialization</x:v>
      </x:c>
      <x:c r="D20" s="24" t="str">
        <x:v>Schema migration baseline</x:v>
      </x:c>
      <x:c r="E20" s="25" t="n">
        <x:v>46307</x:v>
      </x:c>
      <x:c r="F20" s="25" t="n">
        <x:v>46308</x:v>
      </x:c>
      <x:c r="G20" s="26" t="n">
        <x:f>F20-E20+1</x:f>
        <x:v>2</x:v>
      </x:c>
      <x:c r="H20" s="24" t="str">
        <x:v>Tạo migration đầu tiên theo schema 09 và áp dụng trên môi trường local/staging</x:v>
      </x:c>
      <x:c r="I20" s="24" t="str">
        <x:v>Backend</x:v>
      </x:c>
      <x:c r="J20" s="24" t="str">
        <x:v>RDS có schema nền đúng tài liệu, migration có thể tái lập</x:v>
      </x:c>
      <x:c r="K20" s="24" t="str">
        <x:v>09 §5, §12</x:v>
      </x:c>
      <x:c r="L20" s="24" t="str">
        <x:v>FE chưa test chức năng</x:v>
      </x:c>
      <x:c r="M20" s="24" t="str"/>
      <x:c r="N20" s="24" t="str">
        <x:v>A2.06</x:v>
      </x:c>
      <x:c r="O20" s="26" t="str">
        <x:v>P0</x:v>
      </x:c>
      <x:c r="P20" s="26" t="str">
        <x:v>Backend</x:v>
      </x:c>
      <x:c r="Q20" s="26" t="str">
        <x:v>Not Started</x:v>
      </x:c>
      <x:c r="R20" s="26" t="str">
        <x:f>"W"&amp;INT((E20-DATE(2026,10,5))/7)+1</x:f>
        <x:v>W2</x:v>
      </x:c>
      <x:c r="S20" s="24" t="str">
        <x:v>A — Foundation &amp; Readiness &gt; A4 — Database initialization &gt; Schema migration baseline</x:v>
      </x:c>
      <x:c r="T20" s="24" t="str">
        <x:v>List = Macro Phase; Card = Work Package; Checklist = Task</x:v>
      </x:c>
    </x:row>
    <x:row r="21" ht="42" customHeight="1">
      <x:c r="A21" s="24" t="str">
        <x:v>A4.02</x:v>
      </x:c>
      <x:c r="B21" s="24" t="str">
        <x:v>A — Foundation &amp; Readiness</x:v>
      </x:c>
      <x:c r="C21" s="24" t="str">
        <x:v>A4 — Database initialization</x:v>
      </x:c>
      <x:c r="D21" s="24" t="str">
        <x:v>Constraints &amp; indexes baseline</x:v>
      </x:c>
      <x:c r="E21" s="25" t="n">
        <x:v>46308</x:v>
      </x:c>
      <x:c r="F21" s="25" t="n">
        <x:v>46308</x:v>
      </x:c>
      <x:c r="G21" s="26" t="n">
        <x:f>F21-E21+1</x:f>
        <x:v>1</x:v>
      </x:c>
      <x:c r="H21" s="24" t="str">
        <x:v>Kiểm tra khóa chính/ngoại, unique constraints và các index quan trọng theo schema</x:v>
      </x:c>
      <x:c r="I21" s="24" t="str">
        <x:v>Verify</x:v>
      </x:c>
      <x:c r="J21" s="24" t="str">
        <x:v>Database có ràng buộc và index nền đúng thiết kế</x:v>
      </x:c>
      <x:c r="K21" s="24" t="str">
        <x:v>09 §8, §10</x:v>
      </x:c>
      <x:c r="L21" s="24" t="str">
        <x:v>Không có phụ thuộc FE</x:v>
      </x:c>
      <x:c r="M21" s="24" t="str"/>
      <x:c r="N21" s="24" t="str">
        <x:v>A4.01</x:v>
      </x:c>
      <x:c r="O21" s="26" t="str">
        <x:v>P0</x:v>
      </x:c>
      <x:c r="P21" s="26" t="str">
        <x:v>Backend</x:v>
      </x:c>
      <x:c r="Q21" s="26" t="str">
        <x:v>Not Started</x:v>
      </x:c>
      <x:c r="R21" s="26" t="str">
        <x:f>"W"&amp;INT((E21-DATE(2026,10,5))/7)+1</x:f>
        <x:v>W2</x:v>
      </x:c>
      <x:c r="S21" s="24" t="str">
        <x:v>A — Foundation &amp; Readiness &gt; A4 — Database initialization &gt; Constraints &amp; indexes baseline</x:v>
      </x:c>
      <x:c r="T21" s="24" t="str">
        <x:v>List = Macro Phase; Card = Work Package; Checklist = Task</x:v>
      </x:c>
    </x:row>
    <x:row r="22" ht="42" customHeight="1">
      <x:c r="A22" s="24" t="str">
        <x:v>A4.03</x:v>
      </x:c>
      <x:c r="B22" s="24" t="str">
        <x:v>A — Foundation &amp; Readiness</x:v>
      </x:c>
      <x:c r="C22" s="24" t="str">
        <x:v>A4 — Database initialization</x:v>
      </x:c>
      <x:c r="D22" s="24" t="str">
        <x:v>Seed master data</x:v>
      </x:c>
      <x:c r="E22" s="25" t="n">
        <x:v>46308</x:v>
      </x:c>
      <x:c r="F22" s="25" t="n">
        <x:v>46308</x:v>
      </x:c>
      <x:c r="G22" s="26" t="n">
        <x:f>F22-E22+1</x:f>
        <x:v>1</x:v>
      </x:c>
      <x:c r="H22" s="24" t="str">
        <x:v>Chuẩn bị seed tối thiểu cho admin, danh mục, giảng viên và dữ liệu course/lesson mẫu</x:v>
      </x:c>
      <x:c r="I22" s="24" t="str">
        <x:v>Data</x:v>
      </x:c>
      <x:c r="J22" s="24" t="str">
        <x:v>Có dữ liệu thật/mẫu để FE bắt đầu tích hợp các màn hình course</x:v>
      </x:c>
      <x:c r="K22" s="24" t="str">
        <x:v>09 §3.1–3.2</x:v>
      </x:c>
      <x:c r="L22" s="24" t="str">
        <x:v>FE có thể dùng dữ liệu mẫu từ staging</x:v>
      </x:c>
      <x:c r="M22" s="24" t="str"/>
      <x:c r="N22" s="24" t="str">
        <x:v>A4.01</x:v>
      </x:c>
      <x:c r="O22" s="26" t="str">
        <x:v>P0</x:v>
      </x:c>
      <x:c r="P22" s="26" t="str">
        <x:v>Backend</x:v>
      </x:c>
      <x:c r="Q22" s="26" t="str">
        <x:v>Not Started</x:v>
      </x:c>
      <x:c r="R22" s="26" t="str">
        <x:f>"W"&amp;INT((E22-DATE(2026,10,5))/7)+1</x:f>
        <x:v>W2</x:v>
      </x:c>
      <x:c r="S22" s="24" t="str">
        <x:v>A — Foundation &amp; Readiness &gt; A4 — Database initialization &gt; Seed master data</x:v>
      </x:c>
      <x:c r="T22" s="24" t="str">
        <x:v>List = Macro Phase; Card = Work Package; Checklist = Task</x:v>
      </x:c>
    </x:row>
    <x:row r="23" ht="42" customHeight="1">
      <x:c r="A23" s="24" t="str">
        <x:v>A5.01</x:v>
      </x:c>
      <x:c r="B23" s="24" t="str">
        <x:v>A — Foundation &amp; Readiness</x:v>
      </x:c>
      <x:c r="C23" s="24" t="str">
        <x:v>A5 — Staging smoke</x:v>
      </x:c>
      <x:c r="D23" s="24" t="str">
        <x:v>Deploy baseline</x:v>
      </x:c>
      <x:c r="E23" s="25" t="n">
        <x:v>46308</x:v>
      </x:c>
      <x:c r="F23" s="25" t="n">
        <x:v>46308</x:v>
      </x:c>
      <x:c r="G23" s="26" t="n">
        <x:f>F23-E23+1</x:f>
        <x:v>1</x:v>
      </x:c>
      <x:c r="H23" s="24" t="str">
        <x:v>Deploy Backend baseline lên staging EC2 và kiểm tra /health, /docs, RDS, S3</x:v>
      </x:c>
      <x:c r="I23" s="24" t="str">
        <x:v>Deploy</x:v>
      </x:c>
      <x:c r="J23" s="24" t="str">
        <x:v>Staging Backend hoạt động và sẵn sàng nhận nhóm API đầu tiên</x:v>
      </x:c>
      <x:c r="K23" s="24" t="str">
        <x:v>10 §4, §7</x:v>
      </x:c>
      <x:c r="L23" s="24" t="str">
        <x:v>FE có thể bắt đầu chuẩn bị tích hợp Auth</x:v>
      </x:c>
      <x:c r="M23" s="24" t="str">
        <x:v>★ M2 — Backend staging ready</x:v>
      </x:c>
      <x:c r="N23" s="24" t="str">
        <x:v>A2.09; A4.02; A5.01</x:v>
      </x:c>
      <x:c r="O23" s="26" t="str">
        <x:v>P0</x:v>
      </x:c>
      <x:c r="P23" s="26" t="str">
        <x:v>Backend</x:v>
      </x:c>
      <x:c r="Q23" s="26" t="str">
        <x:v>Not Started</x:v>
      </x:c>
      <x:c r="R23" s="26" t="str">
        <x:f>"W"&amp;INT((E23-DATE(2026,10,5))/7)+1</x:f>
        <x:v>W2</x:v>
      </x:c>
      <x:c r="S23" s="24" t="str">
        <x:v>A — Foundation &amp; Readiness &gt; A5 — Staging smoke &gt; Deploy baseline</x:v>
      </x:c>
      <x:c r="T23" s="24" t="str">
        <x:v>List = Macro Phase; Card = Work Package; Checklist = Task</x:v>
      </x:c>
    </x:row>
    <x:row r="24" ht="42" customHeight="1">
      <x:c r="A24" s="30" t="str">
        <x:v>B1.01</x:v>
      </x:c>
      <x:c r="B24" s="30" t="str">
        <x:v>B — Core Backend &amp; Learning</x:v>
      </x:c>
      <x:c r="C24" s="30" t="str">
        <x:v>B1 — Authentication</x:v>
      </x:c>
      <x:c r="D24" s="30" t="str">
        <x:v>Auth foundation</x:v>
      </x:c>
      <x:c r="E24" s="31" t="n">
        <x:v>46309</x:v>
      </x:c>
      <x:c r="F24" s="31" t="n">
        <x:v>46309</x:v>
      </x:c>
      <x:c r="G24" s="32" t="n">
        <x:f>F24-E24+1</x:f>
        <x:v>1</x:v>
      </x:c>
      <x:c r="H24" s="30" t="str">
        <x:v>Hoàn thành nền tảng tài khoản, password hashing, JWT access/refresh và kiểm tra trạng thái tài khoản</x:v>
      </x:c>
      <x:c r="I24" s="30" t="str">
        <x:v>Backend</x:v>
      </x:c>
      <x:c r="J24" s="30" t="str">
        <x:v>Cơ chế xác thực nền tảng hoạt động ở staging</x:v>
      </x:c>
      <x:c r="K24" s="30" t="str">
        <x:v>08 §1; 09 §3.1; 10 §8.1</x:v>
      </x:c>
      <x:c r="L24" s="30" t="str">
        <x:v>FE có thể chuẩn bị toàn bộ màn hình Auth</x:v>
      </x:c>
      <x:c r="M24" s="30" t="str"/>
      <x:c r="N24" s="30" t="str">
        <x:v>A5.01</x:v>
      </x:c>
      <x:c r="O24" s="32" t="str">
        <x:v>P0</x:v>
      </x:c>
      <x:c r="P24" s="32" t="str">
        <x:v>Backend</x:v>
      </x:c>
      <x:c r="Q24" s="32" t="str">
        <x:v>Not Started</x:v>
      </x:c>
      <x:c r="R24" s="32" t="str">
        <x:f>"W"&amp;INT((E24-DATE(2026,10,5))/7)+1</x:f>
        <x:v>W2</x:v>
      </x:c>
      <x:c r="S24" s="30" t="str">
        <x:v>B — Core Backend &amp; Learning &gt; B1 — Authentication &gt; Auth foundation</x:v>
      </x:c>
      <x:c r="T24" s="30" t="str">
        <x:v>List = Macro Phase; Card = Work Package; Checklist = Task</x:v>
      </x:c>
    </x:row>
    <x:row r="25" ht="42" customHeight="1">
      <x:c r="A25" s="30" t="str">
        <x:v>B1.02</x:v>
      </x:c>
      <x:c r="B25" s="30" t="str">
        <x:v>B — Core Backend &amp; Learning</x:v>
      </x:c>
      <x:c r="C25" s="30" t="str">
        <x:v>B1 — Authentication</x:v>
      </x:c>
      <x:c r="D25" s="30" t="str">
        <x:v>Registration &amp; OTP</x:v>
      </x:c>
      <x:c r="E25" s="31" t="n">
        <x:v>46310</x:v>
      </x:c>
      <x:c r="F25" s="31" t="n">
        <x:v>46311</x:v>
      </x:c>
      <x:c r="G25" s="32" t="n">
        <x:f>F25-E25+1</x:f>
        <x:v>2</x:v>
      </x:c>
      <x:c r="H25" s="30" t="str">
        <x:v>Hoàn thành đăng ký, gửi OTP, verify OTP và resend OTP</x:v>
      </x:c>
      <x:c r="I25" s="30" t="str">
        <x:v>Backend</x:v>
      </x:c>
      <x:c r="J25" s="30" t="str">
        <x:v>Luồng đăng ký + xác minh email hoạt động với email thật</x:v>
      </x:c>
      <x:c r="K25" s="30" t="str">
        <x:v>08 1.1–1.3: /auth/register, /auth/verify-otp, /auth/resend-otp</x:v>
      </x:c>
      <x:c r="L25" s="30" t="str">
        <x:v>FE test Auth checkpoint sau nhóm này</x:v>
      </x:c>
      <x:c r="M25" s="30" t="str"/>
      <x:c r="N25" s="30" t="str">
        <x:v>B1.01; A3.01</x:v>
      </x:c>
      <x:c r="O25" s="32" t="str">
        <x:v>P0</x:v>
      </x:c>
      <x:c r="P25" s="32" t="str">
        <x:v>Backend</x:v>
      </x:c>
      <x:c r="Q25" s="32" t="str">
        <x:v>Not Started</x:v>
      </x:c>
      <x:c r="R25" s="32" t="str">
        <x:f>"W"&amp;INT((E25-DATE(2026,10,5))/7)+1</x:f>
        <x:v>W2</x:v>
      </x:c>
      <x:c r="S25" s="30" t="str">
        <x:v>B — Core Backend &amp; Learning &gt; B1 — Authentication &gt; Registration &amp; OTP</x:v>
      </x:c>
      <x:c r="T25" s="30" t="str">
        <x:v>List = Macro Phase; Card = Work Package; Checklist = Task</x:v>
      </x:c>
    </x:row>
    <x:row r="26" ht="42" customHeight="1">
      <x:c r="A26" s="30" t="str">
        <x:v>B1.03</x:v>
      </x:c>
      <x:c r="B26" s="30" t="str">
        <x:v>B — Core Backend &amp; Learning</x:v>
      </x:c>
      <x:c r="C26" s="30" t="str">
        <x:v>B1 — Authentication</x:v>
      </x:c>
      <x:c r="D26" s="30" t="str">
        <x:v>Login/session</x:v>
      </x:c>
      <x:c r="E26" s="31" t="n">
        <x:v>46311</x:v>
      </x:c>
      <x:c r="F26" s="31" t="n">
        <x:v>46312</x:v>
      </x:c>
      <x:c r="G26" s="32" t="n">
        <x:f>F26-E26+1</x:f>
        <x:v>2</x:v>
      </x:c>
      <x:c r="H26" s="30" t="str">
        <x:v>Hoàn thành login, refresh token và logout đúng contract</x:v>
      </x:c>
      <x:c r="I26" s="30" t="str">
        <x:v>Backend</x:v>
      </x:c>
      <x:c r="J26" s="30" t="str">
        <x:v>FE có thể duy trì phiên đăng nhập và logout</x:v>
      </x:c>
      <x:c r="K26" s="30" t="str">
        <x:v>08 1.4–1.6</x:v>
      </x:c>
      <x:c r="L26" s="30" t="str">
        <x:v>FE test login/session</x:v>
      </x:c>
      <x:c r="M26" s="30" t="str"/>
      <x:c r="N26" s="30" t="str">
        <x:v>B1.01</x:v>
      </x:c>
      <x:c r="O26" s="32" t="str">
        <x:v>P0</x:v>
      </x:c>
      <x:c r="P26" s="32" t="str">
        <x:v>Backend</x:v>
      </x:c>
      <x:c r="Q26" s="32" t="str">
        <x:v>Not Started</x:v>
      </x:c>
      <x:c r="R26" s="32" t="str">
        <x:f>"W"&amp;INT((E26-DATE(2026,10,5))/7)+1</x:f>
        <x:v>W2</x:v>
      </x:c>
      <x:c r="S26" s="30" t="str">
        <x:v>B — Core Backend &amp; Learning &gt; B1 — Authentication &gt; Login/session</x:v>
      </x:c>
      <x:c r="T26" s="30" t="str">
        <x:v>List = Macro Phase; Card = Work Package; Checklist = Task</x:v>
      </x:c>
    </x:row>
    <x:row r="27" ht="42" customHeight="1">
      <x:c r="A27" s="30" t="str">
        <x:v>B1.04</x:v>
      </x:c>
      <x:c r="B27" s="30" t="str">
        <x:v>B — Core Backend &amp; Learning</x:v>
      </x:c>
      <x:c r="C27" s="30" t="str">
        <x:v>B1 — Authentication</x:v>
      </x:c>
      <x:c r="D27" s="30" t="str">
        <x:v>Password recovery</x:v>
      </x:c>
      <x:c r="E27" s="31" t="n">
        <x:v>46312</x:v>
      </x:c>
      <x:c r="F27" s="31" t="n">
        <x:v>46312</x:v>
      </x:c>
      <x:c r="G27" s="32" t="n">
        <x:f>F27-E27+1</x:f>
        <x:v>1</x:v>
      </x:c>
      <x:c r="H27" s="30" t="str">
        <x:v>Hoàn thành forgot password, verify OTP và reset password</x:v>
      </x:c>
      <x:c r="I27" s="30" t="str">
        <x:v>Backend</x:v>
      </x:c>
      <x:c r="J27" s="30" t="str">
        <x:v>Khôi phục mật khẩu hoạt động từ đầu đến cuối</x:v>
      </x:c>
      <x:c r="K27" s="30" t="str">
        <x:v>08 1.7–1.8</x:v>
      </x:c>
      <x:c r="L27" s="30" t="str">
        <x:v>FE test password recovery</x:v>
      </x:c>
      <x:c r="M27" s="30" t="str"/>
      <x:c r="N27" s="30" t="str">
        <x:v>B1.02</x:v>
      </x:c>
      <x:c r="O27" s="32" t="str">
        <x:v>P0</x:v>
      </x:c>
      <x:c r="P27" s="32" t="str">
        <x:v>Backend</x:v>
      </x:c>
      <x:c r="Q27" s="32" t="str">
        <x:v>Not Started</x:v>
      </x:c>
      <x:c r="R27" s="32" t="str">
        <x:f>"W"&amp;INT((E27-DATE(2026,10,5))/7)+1</x:f>
        <x:v>W2</x:v>
      </x:c>
      <x:c r="S27" s="30" t="str">
        <x:v>B — Core Backend &amp; Learning &gt; B1 — Authentication &gt; Password recovery</x:v>
      </x:c>
      <x:c r="T27" s="30" t="str">
        <x:v>List = Macro Phase; Card = Work Package; Checklist = Task</x:v>
      </x:c>
    </x:row>
    <x:row r="28" ht="42" customHeight="1">
      <x:c r="A28" s="30" t="str">
        <x:v>B1.05</x:v>
      </x:c>
      <x:c r="B28" s="30" t="str">
        <x:v>B — Core Backend &amp; Learning</x:v>
      </x:c>
      <x:c r="C28" s="30" t="str">
        <x:v>B1 — Authentication</x:v>
      </x:c>
      <x:c r="D28" s="30" t="str">
        <x:v>Auth staging handover</x:v>
      </x:c>
      <x:c r="E28" s="31" t="n">
        <x:v>46313</x:v>
      </x:c>
      <x:c r="F28" s="31" t="n">
        <x:v>46313</x:v>
      </x:c>
      <x:c r="G28" s="32" t="n">
        <x:f>F28-E28+1</x:f>
        <x:v>1</x:v>
      </x:c>
      <x:c r="H28" s="30" t="str">
        <x:v>Deploy nhóm Auth lên staging và kiểm tra bộ lỗi/edge case trước khi bàn giao FE</x:v>
      </x:c>
      <x:c r="I28" s="30" t="str">
        <x:v>Deploy</x:v>
      </x:c>
      <x:c r="J28" s="30" t="str">
        <x:v>Auth group ổn định trên staging; Swagger cập nhật đầy đủ</x:v>
      </x:c>
      <x:c r="K28" s="30" t="str">
        <x:v>08 §1 + error codes; 10 §4.1</x:v>
      </x:c>
      <x:c r="L28" s="30" t="str">
        <x:v>FE integration/test window: 18–19/10</x:v>
      </x:c>
      <x:c r="M28" s="30" t="str"/>
      <x:c r="N28" s="30" t="str">
        <x:v>B1.03; B1.04</x:v>
      </x:c>
      <x:c r="O28" s="32" t="str">
        <x:v>P0</x:v>
      </x:c>
      <x:c r="P28" s="32" t="str">
        <x:v>Backend</x:v>
      </x:c>
      <x:c r="Q28" s="32" t="str">
        <x:v>Not Started</x:v>
      </x:c>
      <x:c r="R28" s="32" t="str">
        <x:f>"W"&amp;INT((E28-DATE(2026,10,5))/7)+1</x:f>
        <x:v>W2</x:v>
      </x:c>
      <x:c r="S28" s="30" t="str">
        <x:v>B — Core Backend &amp; Learning &gt; B1 — Authentication &gt; Auth staging handover</x:v>
      </x:c>
      <x:c r="T28" s="30" t="str">
        <x:v>List = Macro Phase; Card = Work Package; Checklist = Task</x:v>
      </x:c>
    </x:row>
    <x:row r="29" ht="42" customHeight="1">
      <x:c r="A29" s="30" t="str">
        <x:v>B1.06</x:v>
      </x:c>
      <x:c r="B29" s="30" t="str">
        <x:v>B — Core Backend &amp; Learning</x:v>
      </x:c>
      <x:c r="C29" s="30" t="str">
        <x:v>B1 — Authentication</x:v>
      </x:c>
      <x:c r="D29" s="30" t="str">
        <x:v>Auth fix &amp; close</x:v>
      </x:c>
      <x:c r="E29" s="31" t="n">
        <x:v>46314</x:v>
      </x:c>
      <x:c r="F29" s="31" t="n">
        <x:v>46314</x:v>
      </x:c>
      <x:c r="G29" s="32" t="n">
        <x:f>F29-E29+1</x:f>
        <x:v>1</x:v>
      </x:c>
      <x:c r="H29" s="30" t="str">
        <x:v>Xử lý lỗi phát sinh từ FE khi tích hợp Auth và chốt nhóm Auth</x:v>
      </x:c>
      <x:c r="I29" s="30" t="str">
        <x:v>Verify</x:v>
      </x:c>
      <x:c r="J29" s="30" t="str">
        <x:v>Auth được FE xác nhận PASS; không còn blocker</x:v>
      </x:c>
      <x:c r="K29" s="30" t="str">
        <x:v>08 §1</x:v>
      </x:c>
      <x:c r="L29" s="30" t="str">
        <x:v>FE PASS / nhóm hoàn tất</x:v>
      </x:c>
      <x:c r="M29" s="30" t="str">
        <x:v>★ M3 — Authentication ready</x:v>
      </x:c>
      <x:c r="N29" s="30" t="str">
        <x:v>B1.05</x:v>
      </x:c>
      <x:c r="O29" s="32" t="str">
        <x:v>P0</x:v>
      </x:c>
      <x:c r="P29" s="32" t="str">
        <x:v>Backend</x:v>
      </x:c>
      <x:c r="Q29" s="32" t="str">
        <x:v>Not Started</x:v>
      </x:c>
      <x:c r="R29" s="32" t="str">
        <x:f>"W"&amp;INT((E29-DATE(2026,10,5))/7)+1</x:f>
        <x:v>W3</x:v>
      </x:c>
      <x:c r="S29" s="30" t="str">
        <x:v>B — Core Backend &amp; Learning &gt; B1 — Authentication &gt; Auth fix &amp; close</x:v>
      </x:c>
      <x:c r="T29" s="30" t="str">
        <x:v>List = Macro Phase; Card = Work Package; Checklist = Task</x:v>
      </x:c>
    </x:row>
    <x:row r="30" ht="42" customHeight="1">
      <x:c r="A30" s="30" t="str">
        <x:v>B2.01</x:v>
      </x:c>
      <x:c r="B30" s="30" t="str">
        <x:v>B — Core Backend &amp; Learning</x:v>
      </x:c>
      <x:c r="C30" s="30" t="str">
        <x:v>B2 — User &amp; Profile</x:v>
      </x:c>
      <x:c r="D30" s="30" t="str">
        <x:v>Profile APIs</x:v>
      </x:c>
      <x:c r="E30" s="31" t="n">
        <x:v>46315</x:v>
      </x:c>
      <x:c r="F30" s="31" t="n">
        <x:v>46315</x:v>
      </x:c>
      <x:c r="G30" s="32" t="n">
        <x:f>F30-E30+1</x:f>
        <x:v>1</x:v>
      </x:c>
      <x:c r="H30" s="30" t="str">
        <x:v>Hoàn thành lấy/cập nhật hồ sơ và đổi mật khẩu</x:v>
      </x:c>
      <x:c r="I30" s="30" t="str">
        <x:v>Backend</x:v>
      </x:c>
      <x:c r="J30" s="30" t="str">
        <x:v>Profile và password change chạy đúng quyền</x:v>
      </x:c>
      <x:c r="K30" s="30" t="str">
        <x:v>08 11.1–11.3</x:v>
      </x:c>
      <x:c r="L30" s="30" t="str">
        <x:v>FE test profile sau staging</x:v>
      </x:c>
      <x:c r="M30" s="30" t="str"/>
      <x:c r="N30" s="30" t="str">
        <x:v>B1.06</x:v>
      </x:c>
      <x:c r="O30" s="32" t="str">
        <x:v>P1</x:v>
      </x:c>
      <x:c r="P30" s="32" t="str">
        <x:v>Backend</x:v>
      </x:c>
      <x:c r="Q30" s="32" t="str">
        <x:v>Not Started</x:v>
      </x:c>
      <x:c r="R30" s="32" t="str">
        <x:f>"W"&amp;INT((E30-DATE(2026,10,5))/7)+1</x:f>
        <x:v>W3</x:v>
      </x:c>
      <x:c r="S30" s="30" t="str">
        <x:v>B — Core Backend &amp; Learning &gt; B2 — User &amp; Profile &gt; Profile APIs</x:v>
      </x:c>
      <x:c r="T30" s="30" t="str">
        <x:v>List = Macro Phase; Card = Work Package; Checklist = Task</x:v>
      </x:c>
    </x:row>
    <x:row r="31" ht="42" customHeight="1">
      <x:c r="A31" s="30" t="str">
        <x:v>B2.02</x:v>
      </x:c>
      <x:c r="B31" s="30" t="str">
        <x:v>B — Core Backend &amp; Learning</x:v>
      </x:c>
      <x:c r="C31" s="30" t="str">
        <x:v>B2 — User &amp; Profile</x:v>
      </x:c>
      <x:c r="D31" s="30" t="str">
        <x:v>Admin user controls</x:v>
      </x:c>
      <x:c r="E31" s="31" t="n">
        <x:v>46315</x:v>
      </x:c>
      <x:c r="F31" s="31" t="n">
        <x:v>46316</x:v>
      </x:c>
      <x:c r="G31" s="32" t="n">
        <x:f>F31-E31+1</x:f>
        <x:v>2</x:v>
      </x:c>
      <x:c r="H31" s="30" t="str">
        <x:v>Hoàn thành danh sách học viên, khóa tài khoản và mở khóa tài khoản cho Admin</x:v>
      </x:c>
      <x:c r="I31" s="30" t="str">
        <x:v>Backend</x:v>
      </x:c>
      <x:c r="J31" s="30" t="str">
        <x:v>Admin có thể quản lý trạng thái học viên</x:v>
      </x:c>
      <x:c r="K31" s="30" t="str">
        <x:v>08 11.4a–11.4c</x:v>
      </x:c>
      <x:c r="L31" s="30" t="str">
        <x:v>FE Admin tích hợp sau staging</x:v>
      </x:c>
      <x:c r="M31" s="30" t="str"/>
      <x:c r="N31" s="30" t="str">
        <x:v>B1.06</x:v>
      </x:c>
      <x:c r="O31" s="32" t="str">
        <x:v>P1</x:v>
      </x:c>
      <x:c r="P31" s="32" t="str">
        <x:v>Backend</x:v>
      </x:c>
      <x:c r="Q31" s="32" t="str">
        <x:v>Not Started</x:v>
      </x:c>
      <x:c r="R31" s="32" t="str">
        <x:f>"W"&amp;INT((E31-DATE(2026,10,5))/7)+1</x:f>
        <x:v>W3</x:v>
      </x:c>
      <x:c r="S31" s="30" t="str">
        <x:v>B — Core Backend &amp; Learning &gt; B2 — User &amp; Profile &gt; Admin user controls</x:v>
      </x:c>
      <x:c r="T31" s="30" t="str">
        <x:v>List = Macro Phase; Card = Work Package; Checklist = Task</x:v>
      </x:c>
    </x:row>
    <x:row r="32" ht="42" customHeight="1">
      <x:c r="A32" s="30" t="str">
        <x:v>B2.03</x:v>
      </x:c>
      <x:c r="B32" s="30" t="str">
        <x:v>B — Core Backend &amp; Learning</x:v>
      </x:c>
      <x:c r="C32" s="30" t="str">
        <x:v>B2 — User &amp; Profile</x:v>
      </x:c>
      <x:c r="D32" s="30" t="str">
        <x:v>Profile handover</x:v>
      </x:c>
      <x:c r="E32" s="31" t="n">
        <x:v>46316</x:v>
      </x:c>
      <x:c r="F32" s="31" t="n">
        <x:v>46316</x:v>
      </x:c>
      <x:c r="G32" s="32" t="n">
        <x:f>F32-E32+1</x:f>
        <x:v>1</x:v>
      </x:c>
      <x:c r="H32" s="30" t="str">
        <x:v>Deploy và chốt nhóm User/Profile sau kiểm tra quyền và response contract</x:v>
      </x:c>
      <x:c r="I32" s="30" t="str">
        <x:v>Deploy</x:v>
      </x:c>
      <x:c r="J32" s="30" t="str">
        <x:v>User/Profile sẵn sàng để FE dùng</x:v>
      </x:c>
      <x:c r="K32" s="30" t="str">
        <x:v>08 §11</x:v>
      </x:c>
      <x:c r="L32" s="30" t="str">
        <x:v>FE integration/test window</x:v>
      </x:c>
      <x:c r="M32" s="30" t="str"/>
      <x:c r="N32" s="30" t="str">
        <x:v>B2.01; B2.02</x:v>
      </x:c>
      <x:c r="O32" s="32" t="str">
        <x:v>P1</x:v>
      </x:c>
      <x:c r="P32" s="32" t="str">
        <x:v>Backend</x:v>
      </x:c>
      <x:c r="Q32" s="32" t="str">
        <x:v>Not Started</x:v>
      </x:c>
      <x:c r="R32" s="32" t="str">
        <x:f>"W"&amp;INT((E32-DATE(2026,10,5))/7)+1</x:f>
        <x:v>W3</x:v>
      </x:c>
      <x:c r="S32" s="30" t="str">
        <x:v>B — Core Backend &amp; Learning &gt; B2 — User &amp; Profile &gt; Profile handover</x:v>
      </x:c>
      <x:c r="T32" s="30" t="str">
        <x:v>List = Macro Phase; Card = Work Package; Checklist = Task</x:v>
      </x:c>
    </x:row>
    <x:row r="33" ht="42" customHeight="1">
      <x:c r="A33" s="30" t="str">
        <x:v>B3.01</x:v>
      </x:c>
      <x:c r="B33" s="30" t="str">
        <x:v>B — Core Backend &amp; Learning</x:v>
      </x:c>
      <x:c r="C33" s="30" t="str">
        <x:v>B3 — Course &amp; Catalog</x:v>
      </x:c>
      <x:c r="D33" s="30" t="str">
        <x:v>Public course APIs</x:v>
      </x:c>
      <x:c r="E33" s="31" t="n">
        <x:v>46317</x:v>
      </x:c>
      <x:c r="F33" s="31" t="n">
        <x:v>46318</x:v>
      </x:c>
      <x:c r="G33" s="32" t="n">
        <x:f>F33-E33+1</x:f>
        <x:v>2</x:v>
      </x:c>
      <x:c r="H33" s="30" t="str">
        <x:v>Hoàn thành featured, course list/search/filter, categories và course detail</x:v>
      </x:c>
      <x:c r="I33" s="30" t="str">
        <x:v>Backend</x:v>
      </x:c>
      <x:c r="J33" s="30" t="str">
        <x:v>FE có thể xây home/discovery/course detail bằng dữ liệu staging</x:v>
      </x:c>
      <x:c r="K33" s="30" t="str">
        <x:v>08 2.1–2.5</x:v>
      </x:c>
      <x:c r="L33" s="30" t="str">
        <x:v>FE bắt đầu tích hợp sau khi staging cập nhật</x:v>
      </x:c>
      <x:c r="M33" s="30" t="str"/>
      <x:c r="N33" s="30" t="str">
        <x:v>B1.06; A4.03</x:v>
      </x:c>
      <x:c r="O33" s="32" t="str">
        <x:v>P0</x:v>
      </x:c>
      <x:c r="P33" s="32" t="str">
        <x:v>Backend</x:v>
      </x:c>
      <x:c r="Q33" s="32" t="str">
        <x:v>Not Started</x:v>
      </x:c>
      <x:c r="R33" s="32" t="str">
        <x:f>"W"&amp;INT((E33-DATE(2026,10,5))/7)+1</x:f>
        <x:v>W3</x:v>
      </x:c>
      <x:c r="S33" s="30" t="str">
        <x:v>B — Core Backend &amp; Learning &gt; B3 — Course &amp; Catalog &gt; Public course APIs</x:v>
      </x:c>
      <x:c r="T33" s="30" t="str">
        <x:v>List = Macro Phase; Card = Work Package; Checklist = Task</x:v>
      </x:c>
    </x:row>
    <x:row r="34" ht="42" customHeight="1">
      <x:c r="A34" s="30" t="str">
        <x:v>B3.02</x:v>
      </x:c>
      <x:c r="B34" s="30" t="str">
        <x:v>B — Core Backend &amp; Learning</x:v>
      </x:c>
      <x:c r="C34" s="30" t="str">
        <x:v>B3 — Course &amp; Catalog</x:v>
      </x:c>
      <x:c r="D34" s="30" t="str">
        <x:v>Admin course CRUD</x:v>
      </x:c>
      <x:c r="E34" s="31" t="n">
        <x:v>46318</x:v>
      </x:c>
      <x:c r="F34" s="31" t="n">
        <x:v>46319</x:v>
      </x:c>
      <x:c r="G34" s="32" t="n">
        <x:f>F34-E34+1</x:f>
        <x:v>2</x:v>
      </x:c>
      <x:c r="H34" s="30" t="str">
        <x:v>Hoàn thành tạo/sửa/xóa khóa học và các quy tắc liên quan tới trạng thái khóa học</x:v>
      </x:c>
      <x:c r="I34" s="30" t="str">
        <x:v>Backend</x:v>
      </x:c>
      <x:c r="J34" s="30" t="str">
        <x:v>Admin quản lý được course theo contract</x:v>
      </x:c>
      <x:c r="K34" s="30" t="str">
        <x:v>08 2.9–2.11; 09 courses</x:v>
      </x:c>
      <x:c r="L34" s="30" t="str">
        <x:v>FE Admin test</x:v>
      </x:c>
      <x:c r="M34" s="30" t="str"/>
      <x:c r="N34" s="30" t="str">
        <x:v>B3.01</x:v>
      </x:c>
      <x:c r="O34" s="32" t="str">
        <x:v>P0</x:v>
      </x:c>
      <x:c r="P34" s="32" t="str">
        <x:v>Backend</x:v>
      </x:c>
      <x:c r="Q34" s="32" t="str">
        <x:v>Not Started</x:v>
      </x:c>
      <x:c r="R34" s="32" t="str">
        <x:f>"W"&amp;INT((E34-DATE(2026,10,5))/7)+1</x:f>
        <x:v>W3</x:v>
      </x:c>
      <x:c r="S34" s="30" t="str">
        <x:v>B — Core Backend &amp; Learning &gt; B3 — Course &amp; Catalog &gt; Admin course CRUD</x:v>
      </x:c>
      <x:c r="T34" s="30" t="str">
        <x:v>List = Macro Phase; Card = Work Package; Checklist = Task</x:v>
      </x:c>
    </x:row>
    <x:row r="35" ht="42" customHeight="1">
      <x:c r="A35" s="30" t="str">
        <x:v>B3.03</x:v>
      </x:c>
      <x:c r="B35" s="30" t="str">
        <x:v>B — Core Backend &amp; Learning</x:v>
      </x:c>
      <x:c r="C35" s="30" t="str">
        <x:v>B3 — Course &amp; Catalog</x:v>
      </x:c>
      <x:c r="D35" s="30" t="str">
        <x:v>Chapter &amp; lesson structure</x:v>
      </x:c>
      <x:c r="E35" s="31" t="n">
        <x:v>46319</x:v>
      </x:c>
      <x:c r="F35" s="31" t="n">
        <x:v>46320</x:v>
      </x:c>
      <x:c r="G35" s="32" t="n">
        <x:f>F35-E35+1</x:f>
        <x:v>2</x:v>
      </x:c>
      <x:c r="H35" s="30" t="str">
        <x:v>Hoàn thành thêm/sửa/xóa chương, tạo/sửa/xóa bài giảng và reorder</x:v>
      </x:c>
      <x:c r="I35" s="30" t="str">
        <x:v>Backend</x:v>
      </x:c>
      <x:c r="J35" s="30" t="str">
        <x:v>Admin tạo được cấu trúc course hoàn chỉnh</x:v>
      </x:c>
      <x:c r="K35" s="30" t="str">
        <x:v>08 2.12–2.13; 09 chapters/lessons</x:v>
      </x:c>
      <x:c r="L35" s="30" t="str">
        <x:v>FE Admin test cấu trúc nội dung</x:v>
      </x:c>
      <x:c r="M35" s="30" t="str"/>
      <x:c r="N35" s="30" t="str">
        <x:v>B3.02</x:v>
      </x:c>
      <x:c r="O35" s="32" t="str">
        <x:v>P0</x:v>
      </x:c>
      <x:c r="P35" s="32" t="str">
        <x:v>Backend</x:v>
      </x:c>
      <x:c r="Q35" s="32" t="str">
        <x:v>Not Started</x:v>
      </x:c>
      <x:c r="R35" s="32" t="str">
        <x:f>"W"&amp;INT((E35-DATE(2026,10,5))/7)+1</x:f>
        <x:v>W3</x:v>
      </x:c>
      <x:c r="S35" s="30" t="str">
        <x:v>B — Core Backend &amp; Learning &gt; B3 — Course &amp; Catalog &gt; Chapter &amp; lesson structure</x:v>
      </x:c>
      <x:c r="T35" s="30" t="str">
        <x:v>List = Macro Phase; Card = Work Package; Checklist = Task</x:v>
      </x:c>
    </x:row>
    <x:row r="36" ht="42" customHeight="1">
      <x:c r="A36" s="30" t="str">
        <x:v>B3.04</x:v>
      </x:c>
      <x:c r="B36" s="30" t="str">
        <x:v>B — Core Backend &amp; Learning</x:v>
      </x:c>
      <x:c r="C36" s="30" t="str">
        <x:v>B3 — Course &amp; Catalog</x:v>
      </x:c>
      <x:c r="D36" s="30" t="str">
        <x:v>Instructor CRUD</x:v>
      </x:c>
      <x:c r="E36" s="31" t="n">
        <x:v>46320</x:v>
      </x:c>
      <x:c r="F36" s="31" t="n">
        <x:v>46320</x:v>
      </x:c>
      <x:c r="G36" s="32" t="n">
        <x:f>F36-E36+1</x:f>
        <x:v>1</x:v>
      </x:c>
      <x:c r="H36" s="30" t="str">
        <x:v>Hoàn thành quản lý hồ sơ giảng viên và options cho dropdown</x:v>
      </x:c>
      <x:c r="I36" s="30" t="str">
        <x:v>Backend</x:v>
      </x:c>
      <x:c r="J36" s="30" t="str">
        <x:v>Course có thể gán giảng viên và Admin quản lý master data</x:v>
      </x:c>
      <x:c r="K36" s="30" t="str">
        <x:v>08 2.14; 09 instructors</x:v>
      </x:c>
      <x:c r="L36" s="30" t="str">
        <x:v>FE Admin test</x:v>
      </x:c>
      <x:c r="M36" s="30" t="str"/>
      <x:c r="N36" s="30" t="str">
        <x:v>B3.02</x:v>
      </x:c>
      <x:c r="O36" s="32" t="str">
        <x:v>P1</x:v>
      </x:c>
      <x:c r="P36" s="32" t="str">
        <x:v>Backend</x:v>
      </x:c>
      <x:c r="Q36" s="32" t="str">
        <x:v>Not Started</x:v>
      </x:c>
      <x:c r="R36" s="32" t="str">
        <x:f>"W"&amp;INT((E36-DATE(2026,10,5))/7)+1</x:f>
        <x:v>W3</x:v>
      </x:c>
      <x:c r="S36" s="30" t="str">
        <x:v>B — Core Backend &amp; Learning &gt; B3 — Course &amp; Catalog &gt; Instructor CRUD</x:v>
      </x:c>
      <x:c r="T36" s="30" t="str">
        <x:v>List = Macro Phase; Card = Work Package; Checklist = Task</x:v>
      </x:c>
    </x:row>
    <x:row r="37" ht="42" customHeight="1">
      <x:c r="A37" s="30" t="str">
        <x:v>B3.05</x:v>
      </x:c>
      <x:c r="B37" s="30" t="str">
        <x:v>B — Core Backend &amp; Learning</x:v>
      </x:c>
      <x:c r="C37" s="30" t="str">
        <x:v>B3 — Course &amp; Catalog</x:v>
      </x:c>
      <x:c r="D37" s="30" t="str">
        <x:v>Course staging handover</x:v>
      </x:c>
      <x:c r="E37" s="31" t="n">
        <x:v>46321</x:v>
      </x:c>
      <x:c r="F37" s="31" t="n">
        <x:v>46321</x:v>
      </x:c>
      <x:c r="G37" s="32" t="n">
        <x:f>F37-E37+1</x:f>
        <x:v>1</x:v>
      </x:c>
      <x:c r="H37" s="30" t="str">
        <x:v>Deploy nhóm Course/Content, cập nhật Swagger và cung cấp dữ liệu mẫu ổn định cho FE</x:v>
      </x:c>
      <x:c r="I37" s="30" t="str">
        <x:v>Deploy</x:v>
      </x:c>
      <x:c r="J37" s="30" t="str">
        <x:v>Course/Content ổn định trên staging</x:v>
      </x:c>
      <x:c r="K37" s="30" t="str">
        <x:v>08 §2; 09 §3.2</x:v>
      </x:c>
      <x:c r="L37" s="30" t="str">
        <x:v>FE integration/test window: 26–27/10</x:v>
      </x:c>
      <x:c r="M37" s="30" t="str"/>
      <x:c r="N37" s="30" t="str">
        <x:v>B3.03; B3.04</x:v>
      </x:c>
      <x:c r="O37" s="32" t="str">
        <x:v>P0</x:v>
      </x:c>
      <x:c r="P37" s="32" t="str">
        <x:v>Backend</x:v>
      </x:c>
      <x:c r="Q37" s="32" t="str">
        <x:v>Not Started</x:v>
      </x:c>
      <x:c r="R37" s="32" t="str">
        <x:f>"W"&amp;INT((E37-DATE(2026,10,5))/7)+1</x:f>
        <x:v>W4</x:v>
      </x:c>
      <x:c r="S37" s="30" t="str">
        <x:v>B — Core Backend &amp; Learning &gt; B3 — Course &amp; Catalog &gt; Course staging handover</x:v>
      </x:c>
      <x:c r="T37" s="30" t="str">
        <x:v>List = Macro Phase; Card = Work Package; Checklist = Task</x:v>
      </x:c>
    </x:row>
    <x:row r="38" ht="42" customHeight="1">
      <x:c r="A38" s="30" t="str">
        <x:v>B3.06</x:v>
      </x:c>
      <x:c r="B38" s="30" t="str">
        <x:v>B — Core Backend &amp; Learning</x:v>
      </x:c>
      <x:c r="C38" s="30" t="str">
        <x:v>B3 — Course &amp; Catalog</x:v>
      </x:c>
      <x:c r="D38" s="30" t="str">
        <x:v>Course fix &amp; close</x:v>
      </x:c>
      <x:c r="E38" s="31" t="n">
        <x:v>46322</x:v>
      </x:c>
      <x:c r="F38" s="31" t="n">
        <x:v>46322</x:v>
      </x:c>
      <x:c r="G38" s="32" t="n">
        <x:f>F38-E38+1</x:f>
        <x:v>1</x:v>
      </x:c>
      <x:c r="H38" s="30" t="str">
        <x:v>Sửa lỗi FE integration và chốt nhóm Course/Content</x:v>
      </x:c>
      <x:c r="I38" s="30" t="str">
        <x:v>Verify</x:v>
      </x:c>
      <x:c r="J38" s="30" t="str">
        <x:v>FE xác nhận course list/detail/admin content flow PASS</x:v>
      </x:c>
      <x:c r="K38" s="30" t="str">
        <x:v>08 §2</x:v>
      </x:c>
      <x:c r="L38" s="30" t="str">
        <x:v>FE PASS / nhóm hoàn tất</x:v>
      </x:c>
      <x:c r="M38" s="30" t="str">
        <x:v>★ M4 — Course/content ready</x:v>
      </x:c>
      <x:c r="N38" s="30" t="str">
        <x:v>B3.05</x:v>
      </x:c>
      <x:c r="O38" s="32" t="str">
        <x:v>P0</x:v>
      </x:c>
      <x:c r="P38" s="32" t="str">
        <x:v>Backend</x:v>
      </x:c>
      <x:c r="Q38" s="32" t="str">
        <x:v>Not Started</x:v>
      </x:c>
      <x:c r="R38" s="32" t="str">
        <x:f>"W"&amp;INT((E38-DATE(2026,10,5))/7)+1</x:f>
        <x:v>W4</x:v>
      </x:c>
      <x:c r="S38" s="30" t="str">
        <x:v>B — Core Backend &amp; Learning &gt; B3 — Course &amp; Catalog &gt; Course fix &amp; close</x:v>
      </x:c>
      <x:c r="T38" s="30" t="str">
        <x:v>List = Macro Phase; Card = Work Package; Checklist = Task</x:v>
      </x:c>
    </x:row>
    <x:row r="39" ht="42" customHeight="1">
      <x:c r="A39" s="30" t="str">
        <x:v>B4.01</x:v>
      </x:c>
      <x:c r="B39" s="30" t="str">
        <x:v>B — Core Backend &amp; Learning</x:v>
      </x:c>
      <x:c r="C39" s="30" t="str">
        <x:v>B4 — Enrollment &amp; Progress</x:v>
      </x:c>
      <x:c r="D39" s="30" t="str">
        <x:v>Enrollment</x:v>
      </x:c>
      <x:c r="E39" s="31" t="n">
        <x:v>46323</x:v>
      </x:c>
      <x:c r="F39" s="31" t="n">
        <x:v>46323</x:v>
      </x:c>
      <x:c r="G39" s="32" t="n">
        <x:f>F39-E39+1</x:f>
        <x:v>1</x:v>
      </x:c>
      <x:c r="H39" s="30" t="str">
        <x:v>Hoàn thành đăng ký khóa miễn phí và danh sách khóa học của tôi</x:v>
      </x:c>
      <x:c r="I39" s="30" t="str">
        <x:v>Backend</x:v>
      </x:c>
      <x:c r="J39" s="30" t="str">
        <x:v>Học viên có thể enroll và xem thư viện cá nhân</x:v>
      </x:c>
      <x:c r="K39" s="30" t="str">
        <x:v>08 2.6, 2.8; 09 enrollments</x:v>
      </x:c>
      <x:c r="L39" s="30" t="str">
        <x:v>FE test enrollment</x:v>
      </x:c>
      <x:c r="M39" s="30" t="str"/>
      <x:c r="N39" s="30" t="str">
        <x:v>B3.06</x:v>
      </x:c>
      <x:c r="O39" s="32" t="str">
        <x:v>P0</x:v>
      </x:c>
      <x:c r="P39" s="32" t="str">
        <x:v>Backend</x:v>
      </x:c>
      <x:c r="Q39" s="32" t="str">
        <x:v>Not Started</x:v>
      </x:c>
      <x:c r="R39" s="32" t="str">
        <x:f>"W"&amp;INT((E39-DATE(2026,10,5))/7)+1</x:f>
        <x:v>W4</x:v>
      </x:c>
      <x:c r="S39" s="30" t="str">
        <x:v>B — Core Backend &amp; Learning &gt; B4 — Enrollment &amp; Progress &gt; Enrollment</x:v>
      </x:c>
      <x:c r="T39" s="30" t="str">
        <x:v>List = Macro Phase; Card = Work Package; Checklist = Task</x:v>
      </x:c>
    </x:row>
    <x:row r="40" ht="42" customHeight="1">
      <x:c r="A40" s="30" t="str">
        <x:v>B4.02</x:v>
      </x:c>
      <x:c r="B40" s="30" t="str">
        <x:v>B — Core Backend &amp; Learning</x:v>
      </x:c>
      <x:c r="C40" s="30" t="str">
        <x:v>B4 — Enrollment &amp; Progress</x:v>
      </x:c>
      <x:c r="D40" s="30" t="str">
        <x:v>Lesson player data</x:v>
      </x:c>
      <x:c r="E40" s="31" t="n">
        <x:v>46323</x:v>
      </x:c>
      <x:c r="F40" s="31" t="n">
        <x:v>46324</x:v>
      </x:c>
      <x:c r="G40" s="32" t="n">
        <x:f>F40-E40+1</x:f>
        <x:v>2</x:v>
      </x:c>
      <x:c r="H40" s="30" t="str">
        <x:v>Hoàn thành API dữ liệu bài giảng/player và kiểm tra quyền truy cập/bài học thử</x:v>
      </x:c>
      <x:c r="I40" s="30" t="str">
        <x:v>Backend</x:v>
      </x:c>
      <x:c r="J40" s="30" t="str">
        <x:v>FE nhận đủ dữ liệu để mở màn hình player</x:v>
      </x:c>
      <x:c r="K40" s="30" t="str">
        <x:v>08 2.7; 10 §7.1</x:v>
      </x:c>
      <x:c r="L40" s="30" t="str">
        <x:v>FE test lesson/player</x:v>
      </x:c>
      <x:c r="M40" s="30" t="str"/>
      <x:c r="N40" s="30" t="str">
        <x:v>B4.01</x:v>
      </x:c>
      <x:c r="O40" s="32" t="str">
        <x:v>P0</x:v>
      </x:c>
      <x:c r="P40" s="32" t="str">
        <x:v>Backend</x:v>
      </x:c>
      <x:c r="Q40" s="32" t="str">
        <x:v>Not Started</x:v>
      </x:c>
      <x:c r="R40" s="32" t="str">
        <x:f>"W"&amp;INT((E40-DATE(2026,10,5))/7)+1</x:f>
        <x:v>W4</x:v>
      </x:c>
      <x:c r="S40" s="30" t="str">
        <x:v>B — Core Backend &amp; Learning &gt; B4 — Enrollment &amp; Progress &gt; Lesson player data</x:v>
      </x:c>
      <x:c r="T40" s="30" t="str">
        <x:v>List = Macro Phase; Card = Work Package; Checklist = Task</x:v>
      </x:c>
    </x:row>
    <x:row r="41" ht="42" customHeight="1">
      <x:c r="A41" s="30" t="str">
        <x:v>B4.03</x:v>
      </x:c>
      <x:c r="B41" s="30" t="str">
        <x:v>B — Core Backend &amp; Learning</x:v>
      </x:c>
      <x:c r="C41" s="30" t="str">
        <x:v>B4 — Enrollment &amp; Progress</x:v>
      </x:c>
      <x:c r="D41" s="30" t="str">
        <x:v>Learning progress</x:v>
      </x:c>
      <x:c r="E41" s="31" t="n">
        <x:v>46324</x:v>
      </x:c>
      <x:c r="F41" s="31" t="n">
        <x:v>46324</x:v>
      </x:c>
      <x:c r="G41" s="32" t="n">
        <x:f>F41-E41+1</x:f>
        <x:v>1</x:v>
      </x:c>
      <x:c r="H41" s="30" t="str">
        <x:v>Hoàn thành lưu tiến độ và tổng quan tiến độ học tập</x:v>
      </x:c>
      <x:c r="I41" s="30" t="str">
        <x:v>Backend</x:v>
      </x:c>
      <x:c r="J41" s="30" t="str">
        <x:v>Progress được lưu và đọc lại ổn định</x:v>
      </x:c>
      <x:c r="K41" s="30" t="str">
        <x:v>08 §3; 09 lesson_progress</x:v>
      </x:c>
      <x:c r="L41" s="30" t="str">
        <x:v>FE test resume/progress</x:v>
      </x:c>
      <x:c r="M41" s="30" t="str"/>
      <x:c r="N41" s="30" t="str">
        <x:v>B4.02</x:v>
      </x:c>
      <x:c r="O41" s="32" t="str">
        <x:v>P0</x:v>
      </x:c>
      <x:c r="P41" s="32" t="str">
        <x:v>Backend</x:v>
      </x:c>
      <x:c r="Q41" s="32" t="str">
        <x:v>Not Started</x:v>
      </x:c>
      <x:c r="R41" s="32" t="str">
        <x:f>"W"&amp;INT((E41-DATE(2026,10,5))/7)+1</x:f>
        <x:v>W4</x:v>
      </x:c>
      <x:c r="S41" s="30" t="str">
        <x:v>B — Core Backend &amp; Learning &gt; B4 — Enrollment &amp; Progress &gt; Learning progress</x:v>
      </x:c>
      <x:c r="T41" s="30" t="str">
        <x:v>List = Macro Phase; Card = Work Package; Checklist = Task</x:v>
      </x:c>
    </x:row>
    <x:row r="42" ht="42" customHeight="1">
      <x:c r="A42" s="30" t="str">
        <x:v>B4.04</x:v>
      </x:c>
      <x:c r="B42" s="30" t="str">
        <x:v>B — Core Backend &amp; Learning</x:v>
      </x:c>
      <x:c r="C42" s="30" t="str">
        <x:v>B4 — Enrollment &amp; Progress</x:v>
      </x:c>
      <x:c r="D42" s="30" t="str">
        <x:v>Continue learning</x:v>
      </x:c>
      <x:c r="E42" s="31" t="n">
        <x:v>46325</x:v>
      </x:c>
      <x:c r="F42" s="31" t="n">
        <x:v>46325</x:v>
      </x:c>
      <x:c r="G42" s="32" t="n">
        <x:f>F42-E42+1</x:f>
        <x:v>1</x:v>
      </x:c>
      <x:c r="H42" s="30" t="str">
        <x:v>Hoàn thành dữ liệu 'Tiếp tục học' và kiểm tra cập nhật theo luồng xem video</x:v>
      </x:c>
      <x:c r="I42" s="30" t="str">
        <x:v>Backend</x:v>
      </x:c>
      <x:c r="J42" s="30" t="str">
        <x:v>Home có thể hiển thị continue-learning đúng dữ liệu</x:v>
      </x:c>
      <x:c r="K42" s="30" t="str">
        <x:v>08 2.2; 09 progress/enrollments</x:v>
      </x:c>
      <x:c r="L42" s="30" t="str">
        <x:v>FE test continue learning</x:v>
      </x:c>
      <x:c r="M42" s="30" t="str"/>
      <x:c r="N42" s="30" t="str">
        <x:v>B4.03</x:v>
      </x:c>
      <x:c r="O42" s="32" t="str">
        <x:v>P1</x:v>
      </x:c>
      <x:c r="P42" s="32" t="str">
        <x:v>Backend</x:v>
      </x:c>
      <x:c r="Q42" s="32" t="str">
        <x:v>Not Started</x:v>
      </x:c>
      <x:c r="R42" s="32" t="str">
        <x:f>"W"&amp;INT((E42-DATE(2026,10,5))/7)+1</x:f>
        <x:v>W4</x:v>
      </x:c>
      <x:c r="S42" s="30" t="str">
        <x:v>B — Core Backend &amp; Learning &gt; B4 — Enrollment &amp; Progress &gt; Continue learning</x:v>
      </x:c>
      <x:c r="T42" s="30" t="str">
        <x:v>List = Macro Phase; Card = Work Package; Checklist = Task</x:v>
      </x:c>
    </x:row>
    <x:row r="43" ht="42" customHeight="1">
      <x:c r="A43" s="30" t="str">
        <x:v>B4.05</x:v>
      </x:c>
      <x:c r="B43" s="30" t="str">
        <x:v>B — Core Backend &amp; Learning</x:v>
      </x:c>
      <x:c r="C43" s="30" t="str">
        <x:v>B4 — Enrollment &amp; Progress</x:v>
      </x:c>
      <x:c r="D43" s="30" t="str">
        <x:v>Progress handover</x:v>
      </x:c>
      <x:c r="E43" s="31" t="n">
        <x:v>46325</x:v>
      </x:c>
      <x:c r="F43" s="31" t="n">
        <x:v>46325</x:v>
      </x:c>
      <x:c r="G43" s="32" t="n">
        <x:f>F43-E43+1</x:f>
        <x:v>1</x:v>
      </x:c>
      <x:c r="H43" s="30" t="str">
        <x:v>Deploy nhóm Enrollment/Progress và chốt response/error contract</x:v>
      </x:c>
      <x:c r="I43" s="30" t="str">
        <x:v>Deploy</x:v>
      </x:c>
      <x:c r="J43" s="30" t="str">
        <x:v>Nhóm learning base sẵn sàng cho FE</x:v>
      </x:c>
      <x:c r="K43" s="30" t="str">
        <x:v>08 §2.6–2.8, §3</x:v>
      </x:c>
      <x:c r="L43" s="30" t="str">
        <x:v>FE integration/test window: 30–31/10</x:v>
      </x:c>
      <x:c r="M43" s="30" t="str"/>
      <x:c r="N43" s="30" t="str">
        <x:v>B4.04</x:v>
      </x:c>
      <x:c r="O43" s="32" t="str">
        <x:v>P0</x:v>
      </x:c>
      <x:c r="P43" s="32" t="str">
        <x:v>Backend</x:v>
      </x:c>
      <x:c r="Q43" s="32" t="str">
        <x:v>Not Started</x:v>
      </x:c>
      <x:c r="R43" s="32" t="str">
        <x:f>"W"&amp;INT((E43-DATE(2026,10,5))/7)+1</x:f>
        <x:v>W4</x:v>
      </x:c>
      <x:c r="S43" s="30" t="str">
        <x:v>B — Core Backend &amp; Learning &gt; B4 — Enrollment &amp; Progress &gt; Progress handover</x:v>
      </x:c>
      <x:c r="T43" s="30" t="str">
        <x:v>List = Macro Phase; Card = Work Package; Checklist = Task</x:v>
      </x:c>
    </x:row>
    <x:row r="44" ht="42" customHeight="1">
      <x:c r="A44" s="30" t="str">
        <x:v>B4.06</x:v>
      </x:c>
      <x:c r="B44" s="30" t="str">
        <x:v>B — Core Backend &amp; Learning</x:v>
      </x:c>
      <x:c r="C44" s="30" t="str">
        <x:v>B4 — Enrollment &amp; Progress</x:v>
      </x:c>
      <x:c r="D44" s="30" t="str">
        <x:v>Learning fix &amp; close</x:v>
      </x:c>
      <x:c r="E44" s="31" t="n">
        <x:v>46326</x:v>
      </x:c>
      <x:c r="F44" s="31" t="n">
        <x:v>46326</x:v>
      </x:c>
      <x:c r="G44" s="32" t="n">
        <x:f>F44-E44+1</x:f>
        <x:v>1</x:v>
      </x:c>
      <x:c r="H44" s="30" t="str">
        <x:v>Sửa lỗi FE integration và chốt nhóm Enrollment/Progress</x:v>
      </x:c>
      <x:c r="I44" s="30" t="str">
        <x:v>Verify</x:v>
      </x:c>
      <x:c r="J44" s="30" t="str">
        <x:v>FE PASS cho enroll, my courses, lesson, progress, continue learning</x:v>
      </x:c>
      <x:c r="K44" s="30" t="str">
        <x:v>08 §2–3</x:v>
      </x:c>
      <x:c r="L44" s="30" t="str">
        <x:v>FE PASS / nhóm hoàn tất</x:v>
      </x:c>
      <x:c r="M44" s="30" t="str">
        <x:v>★ M5 — Core learning ready</x:v>
      </x:c>
      <x:c r="N44" s="30" t="str">
        <x:v>B4.05</x:v>
      </x:c>
      <x:c r="O44" s="32" t="str">
        <x:v>P0</x:v>
      </x:c>
      <x:c r="P44" s="32" t="str">
        <x:v>Backend</x:v>
      </x:c>
      <x:c r="Q44" s="32" t="str">
        <x:v>Not Started</x:v>
      </x:c>
      <x:c r="R44" s="32" t="str">
        <x:f>"W"&amp;INT((E44-DATE(2026,10,5))/7)+1</x:f>
        <x:v>W4</x:v>
      </x:c>
      <x:c r="S44" s="30" t="str">
        <x:v>B — Core Backend &amp; Learning &gt; B4 — Enrollment &amp; Progress &gt; Learning fix &amp; close</x:v>
      </x:c>
      <x:c r="T44" s="30" t="str">
        <x:v>List = Macro Phase; Card = Work Package; Checklist = Task</x:v>
      </x:c>
    </x:row>
    <x:row r="45" ht="42" customHeight="1">
      <x:c r="A45" s="30" t="str">
        <x:v>B5.01</x:v>
      </x:c>
      <x:c r="B45" s="30" t="str">
        <x:v>B — Core Backend &amp; Learning</x:v>
      </x:c>
      <x:c r="C45" s="30" t="str">
        <x:v>B5 — Notes</x:v>
      </x:c>
      <x:c r="D45" s="30" t="str">
        <x:v>Notes APIs</x:v>
      </x:c>
      <x:c r="E45" s="31" t="n">
        <x:v>46327</x:v>
      </x:c>
      <x:c r="F45" s="31" t="n">
        <x:v>46327</x:v>
      </x:c>
      <x:c r="G45" s="32" t="n">
        <x:f>F45-E45+1</x:f>
        <x:v>1</x:v>
      </x:c>
      <x:c r="H45" s="30" t="str">
        <x:v>Hoàn thành list/create/update/delete ghi chú theo mốc thời gian video</x:v>
      </x:c>
      <x:c r="I45" s="30" t="str">
        <x:v>Backend</x:v>
      </x:c>
      <x:c r="J45" s="30" t="str">
        <x:v>Notes hoạt động gắn với lesson và timestamp</x:v>
      </x:c>
      <x:c r="K45" s="30" t="str">
        <x:v>08 §7; 09 notes</x:v>
      </x:c>
      <x:c r="L45" s="30" t="str">
        <x:v>FE test Notes</x:v>
      </x:c>
      <x:c r="M45" s="30" t="str"/>
      <x:c r="N45" s="30" t="str">
        <x:v>B4.06</x:v>
      </x:c>
      <x:c r="O45" s="32" t="str">
        <x:v>P1</x:v>
      </x:c>
      <x:c r="P45" s="32" t="str">
        <x:v>Backend</x:v>
      </x:c>
      <x:c r="Q45" s="32" t="str">
        <x:v>Not Started</x:v>
      </x:c>
      <x:c r="R45" s="32" t="str">
        <x:f>"W"&amp;INT((E45-DATE(2026,10,5))/7)+1</x:f>
        <x:v>W4</x:v>
      </x:c>
      <x:c r="S45" s="30" t="str">
        <x:v>B — Core Backend &amp; Learning &gt; B5 — Notes &gt; Notes APIs</x:v>
      </x:c>
      <x:c r="T45" s="30" t="str">
        <x:v>List = Macro Phase; Card = Work Package; Checklist = Task</x:v>
      </x:c>
    </x:row>
    <x:row r="46" ht="42" customHeight="1">
      <x:c r="A46" s="30" t="str">
        <x:v>B5.02</x:v>
      </x:c>
      <x:c r="B46" s="30" t="str">
        <x:v>B — Core Backend &amp; Learning</x:v>
      </x:c>
      <x:c r="C46" s="30" t="str">
        <x:v>B5 — Notes</x:v>
      </x:c>
      <x:c r="D46" s="30" t="str">
        <x:v>Core regression &amp; content readiness</x:v>
      </x:c>
      <x:c r="E46" s="31" t="n">
        <x:v>46328</x:v>
      </x:c>
      <x:c r="F46" s="31" t="n">
        <x:v>46328</x:v>
      </x:c>
      <x:c r="G46" s="32" t="n">
        <x:f>F46-E46+1</x:f>
        <x:v>1</x:v>
      </x:c>
      <x:c r="H46" s="30" t="str">
        <x:v>Regression các nhóm Auth/Course/Learning/Notes và chốt bộ dữ liệu course + lesson dùng cho video pipeline</x:v>
      </x:c>
      <x:c r="I46" s="30" t="str">
        <x:v>Verify</x:v>
      </x:c>
      <x:c r="J46" s="30" t="str">
        <x:v>Nền tảng ổn định; có lesson thật để chuyển sang Video</x:v>
      </x:c>
      <x:c r="K46" s="30" t="str">
        <x:v>08 §1–3, §7; 09 §3–5</x:v>
      </x:c>
      <x:c r="L46" s="30" t="str">
        <x:v>FE regression chỉ khi có blocker</x:v>
      </x:c>
      <x:c r="M46" s="30" t="str">
        <x:v>★ M6 — Core backend baseline frozen</x:v>
      </x:c>
      <x:c r="N46" s="30" t="str">
        <x:v>B5.01</x:v>
      </x:c>
      <x:c r="O46" s="32" t="str">
        <x:v>P0</x:v>
      </x:c>
      <x:c r="P46" s="32" t="str">
        <x:v>Backend</x:v>
      </x:c>
      <x:c r="Q46" s="32" t="str">
        <x:v>Not Started</x:v>
      </x:c>
      <x:c r="R46" s="32" t="str">
        <x:f>"W"&amp;INT((E46-DATE(2026,10,5))/7)+1</x:f>
        <x:v>W5</x:v>
      </x:c>
      <x:c r="S46" s="30" t="str">
        <x:v>B — Core Backend &amp; Learning &gt; B5 — Notes &gt; Core regression &amp; content readiness</x:v>
      </x:c>
      <x:c r="T46" s="30" t="str">
        <x:v>List = Macro Phase; Card = Work Package; Checklist = Task</x:v>
      </x:c>
    </x:row>
    <x:row r="47" ht="42" customHeight="1">
      <x:c r="A47" s="24" t="str">
        <x:v>C1.01</x:v>
      </x:c>
      <x:c r="B47" s="24" t="str">
        <x:v>C — Video Delivery</x:v>
      </x:c>
      <x:c r="C47" s="24" t="str">
        <x:v>C1 — Video content readiness</x:v>
      </x:c>
      <x:c r="D47" s="24" t="str">
        <x:v>Video source preparation</x:v>
      </x:c>
      <x:c r="E47" s="25" t="n">
        <x:v>46329</x:v>
      </x:c>
      <x:c r="F47" s="25" t="n">
        <x:v>46329</x:v>
      </x:c>
      <x:c r="G47" s="26" t="n">
        <x:f>F47-E47+1</x:f>
        <x:v>1</x:v>
      </x:c>
      <x:c r="H47" s="24" t="str">
        <x:v>Tìm và chọn video thật làm dữ liệu thử nghiệm; kiểm tra quyền sử dụng và metadata bài giảng</x:v>
      </x:c>
      <x:c r="I47" s="24" t="str">
        <x:v>Data</x:v>
      </x:c>
      <x:c r="J47" s="24" t="str">
        <x:v>Có video test ngắn và video test dài dùng xuyên suốt pipeline</x:v>
      </x:c>
      <x:c r="K47" s="24" t="str">
        <x:v>11 §3.2; 08 §9</x:v>
      </x:c>
      <x:c r="L47" s="24" t="str">
        <x:v>FE chưa test; video sẽ dùng cho staging</x:v>
      </x:c>
      <x:c r="M47" s="24" t="str"/>
      <x:c r="N47" s="24" t="str">
        <x:v>B5.02</x:v>
      </x:c>
      <x:c r="O47" s="26" t="str">
        <x:v>P0</x:v>
      </x:c>
      <x:c r="P47" s="26" t="str">
        <x:v>Backend</x:v>
      </x:c>
      <x:c r="Q47" s="26" t="str">
        <x:v>Not Started</x:v>
      </x:c>
      <x:c r="R47" s="26" t="str">
        <x:f>"W"&amp;INT((E47-DATE(2026,10,5))/7)+1</x:f>
        <x:v>W5</x:v>
      </x:c>
      <x:c r="S47" s="24" t="str">
        <x:v>C — Video Delivery &gt; C1 — Video content readiness &gt; Video source preparation</x:v>
      </x:c>
      <x:c r="T47" s="24" t="str">
        <x:v>List = Macro Phase; Card = Work Package; Checklist = Task</x:v>
      </x:c>
    </x:row>
    <x:row r="48" ht="42" customHeight="1">
      <x:c r="A48" s="24" t="str">
        <x:v>C1.02</x:v>
      </x:c>
      <x:c r="B48" s="24" t="str">
        <x:v>C — Video Delivery</x:v>
      </x:c>
      <x:c r="C48" s="24" t="str">
        <x:v>C1 — Video content readiness</x:v>
      </x:c>
      <x:c r="D48" s="24" t="str">
        <x:v>Media validation</x:v>
      </x:c>
      <x:c r="E48" s="25" t="n">
        <x:v>46329</x:v>
      </x:c>
      <x:c r="F48" s="25" t="n">
        <x:v>46329</x:v>
      </x:c>
      <x:c r="G48" s="26" t="n">
        <x:f>F48-E48+1</x:f>
        <x:v>1</x:v>
      </x:c>
      <x:c r="H48" s="24" t="str">
        <x:v>Kiểm tra định dạng, MIME, dung lượng và khả năng xử lý của các video test</x:v>
      </x:c>
      <x:c r="I48" s="24" t="str">
        <x:v>Verify</x:v>
      </x:c>
      <x:c r="J48" s="24" t="str">
        <x:v>Video phù hợp giới hạn 5GB và quy trình multipart</x:v>
      </x:c>
      <x:c r="K48" s="24" t="str">
        <x:v>11 §3.2–3.3</x:v>
      </x:c>
      <x:c r="L48" s="24" t="str">
        <x:v>Không có phụ thuộc FE</x:v>
      </x:c>
      <x:c r="M48" s="24" t="str"/>
      <x:c r="N48" s="24" t="str">
        <x:v>C1.01</x:v>
      </x:c>
      <x:c r="O48" s="26" t="str">
        <x:v>P0</x:v>
      </x:c>
      <x:c r="P48" s="26" t="str">
        <x:v>Backend</x:v>
      </x:c>
      <x:c r="Q48" s="26" t="str">
        <x:v>Not Started</x:v>
      </x:c>
      <x:c r="R48" s="26" t="str">
        <x:f>"W"&amp;INT((E48-DATE(2026,10,5))/7)+1</x:f>
        <x:v>W5</x:v>
      </x:c>
      <x:c r="S48" s="24" t="str">
        <x:v>C — Video Delivery &gt; C1 — Video content readiness &gt; Media validation</x:v>
      </x:c>
      <x:c r="T48" s="24" t="str">
        <x:v>List = Macro Phase; Card = Work Package; Checklist = Task</x:v>
      </x:c>
    </x:row>
    <x:row r="49" ht="42" customHeight="1">
      <x:c r="A49" s="24" t="str">
        <x:v>C2.01</x:v>
      </x:c>
      <x:c r="B49" s="24" t="str">
        <x:v>C — Video Delivery</x:v>
      </x:c>
      <x:c r="C49" s="24" t="str">
        <x:v>C2 — Direct S3 upload</x:v>
      </x:c>
      <x:c r="D49" s="24" t="str">
        <x:v>Upload initialization</x:v>
      </x:c>
      <x:c r="E49" s="25" t="n">
        <x:v>46330</x:v>
      </x:c>
      <x:c r="F49" s="25" t="n">
        <x:v>46330</x:v>
      </x:c>
      <x:c r="G49" s="26" t="n">
        <x:f>F49-E49+1</x:f>
        <x:v>1</x:v>
      </x:c>
      <x:c r="H49" s="24" t="str">
        <x:v>Hoàn thành luồng khởi tạo multipart upload, tạo video record và 4 pipeline steps</x:v>
      </x:c>
      <x:c r="I49" s="24" t="str">
        <x:v>Backend</x:v>
      </x:c>
      <x:c r="J49" s="24" t="str">
        <x:v>Có upload session + trạng thái video/pipeline ban đầu</x:v>
      </x:c>
      <x:c r="K49" s="24" t="str">
        <x:v>08 §9.1a; 11 §3.3.1</x:v>
      </x:c>
      <x:c r="L49" s="24" t="str">
        <x:v>FE bắt đầu tích hợp Admin upload</x:v>
      </x:c>
      <x:c r="M49" s="24" t="str"/>
      <x:c r="N49" s="24" t="str">
        <x:v>C1.02</x:v>
      </x:c>
      <x:c r="O49" s="26" t="str">
        <x:v>P0</x:v>
      </x:c>
      <x:c r="P49" s="26" t="str">
        <x:v>Backend</x:v>
      </x:c>
      <x:c r="Q49" s="26" t="str">
        <x:v>Not Started</x:v>
      </x:c>
      <x:c r="R49" s="26" t="str">
        <x:f>"W"&amp;INT((E49-DATE(2026,10,5))/7)+1</x:f>
        <x:v>W5</x:v>
      </x:c>
      <x:c r="S49" s="24" t="str">
        <x:v>C — Video Delivery &gt; C2 — Direct S3 upload &gt; Upload initialization</x:v>
      </x:c>
      <x:c r="T49" s="24" t="str">
        <x:v>List = Macro Phase; Card = Work Package; Checklist = Task</x:v>
      </x:c>
    </x:row>
    <x:row r="50" ht="42" customHeight="1">
      <x:c r="A50" s="24" t="str">
        <x:v>C2.02</x:v>
      </x:c>
      <x:c r="B50" s="24" t="str">
        <x:v>C — Video Delivery</x:v>
      </x:c>
      <x:c r="C50" s="24" t="str">
        <x:v>C2 — Direct S3 upload</x:v>
      </x:c>
      <x:c r="D50" s="24" t="str">
        <x:v>Presigned part upload</x:v>
      </x:c>
      <x:c r="E50" s="25" t="n">
        <x:v>46331</x:v>
      </x:c>
      <x:c r="F50" s="25" t="n">
        <x:v>46331</x:v>
      </x:c>
      <x:c r="G50" s="26" t="n">
        <x:f>F50-E50+1</x:f>
        <x:v>1</x:v>
      </x:c>
      <x:c r="H50" s="24" t="str">
        <x:v>Hoàn thành cấp presigned URL cho từng part và hỗ trợ tiếp tục từ phần còn thiếu</x:v>
      </x:c>
      <x:c r="I50" s="24" t="str">
        <x:v>Backend</x:v>
      </x:c>
      <x:c r="J50" s="24" t="str">
        <x:v>Client có thể upload trực tiếp từng part lên S3</x:v>
      </x:c>
      <x:c r="K50" s="24" t="str">
        <x:v>08 §9.1b; 11 §3.3.1</x:v>
      </x:c>
      <x:c r="L50" s="24" t="str">
        <x:v>FE test upload part</x:v>
      </x:c>
      <x:c r="M50" s="24" t="str"/>
      <x:c r="N50" s="24" t="str">
        <x:v>C2.01</x:v>
      </x:c>
      <x:c r="O50" s="26" t="str">
        <x:v>P0</x:v>
      </x:c>
      <x:c r="P50" s="26" t="str">
        <x:v>Backend</x:v>
      </x:c>
      <x:c r="Q50" s="26" t="str">
        <x:v>Not Started</x:v>
      </x:c>
      <x:c r="R50" s="26" t="str">
        <x:f>"W"&amp;INT((E50-DATE(2026,10,5))/7)+1</x:f>
        <x:v>W5</x:v>
      </x:c>
      <x:c r="S50" s="24" t="str">
        <x:v>C — Video Delivery &gt; C2 — Direct S3 upload &gt; Presigned part upload</x:v>
      </x:c>
      <x:c r="T50" s="24" t="str">
        <x:v>List = Macro Phase; Card = Work Package; Checklist = Task</x:v>
      </x:c>
    </x:row>
    <x:row r="51" ht="42" customHeight="1">
      <x:c r="A51" s="24" t="str">
        <x:v>C2.03</x:v>
      </x:c>
      <x:c r="B51" s="24" t="str">
        <x:v>C — Video Delivery</x:v>
      </x:c>
      <x:c r="C51" s="24" t="str">
        <x:v>C2 — Direct S3 upload</x:v>
      </x:c>
      <x:c r="D51" s="24" t="str">
        <x:v>Upload completion &amp; cancel</x:v>
      </x:c>
      <x:c r="E51" s="25" t="n">
        <x:v>46332</x:v>
      </x:c>
      <x:c r="F51" s="25" t="n">
        <x:v>46332</x:v>
      </x:c>
      <x:c r="G51" s="26" t="n">
        <x:f>F51-E51+1</x:f>
        <x:v>1</x:v>
      </x:c>
      <x:c r="H51" s="24" t="str">
        <x:v>Hoàn thành complete multipart, cập nhật raw storage URL và hủy upload</x:v>
      </x:c>
      <x:c r="I51" s="24" t="str">
        <x:v>Backend</x:v>
      </x:c>
      <x:c r="J51" s="24" t="str">
        <x:v>Upload hoàn chỉnh chuyển video sang uploaded và có thể cancel</x:v>
      </x:c>
      <x:c r="K51" s="24" t="str">
        <x:v>08 §9.1c, §9.5; 11 §3.3.1</x:v>
      </x:c>
      <x:c r="L51" s="24" t="str">
        <x:v>FE test complete/cancel</x:v>
      </x:c>
      <x:c r="M51" s="24" t="str"/>
      <x:c r="N51" s="24" t="str">
        <x:v>C2.02</x:v>
      </x:c>
      <x:c r="O51" s="26" t="str">
        <x:v>P0</x:v>
      </x:c>
      <x:c r="P51" s="26" t="str">
        <x:v>Backend</x:v>
      </x:c>
      <x:c r="Q51" s="26" t="str">
        <x:v>Not Started</x:v>
      </x:c>
      <x:c r="R51" s="26" t="str">
        <x:f>"W"&amp;INT((E51-DATE(2026,10,5))/7)+1</x:f>
        <x:v>W5</x:v>
      </x:c>
      <x:c r="S51" s="24" t="str">
        <x:v>C — Video Delivery &gt; C2 — Direct S3 upload &gt; Upload completion &amp; cancel</x:v>
      </x:c>
      <x:c r="T51" s="24" t="str">
        <x:v>List = Macro Phase; Card = Work Package; Checklist = Task</x:v>
      </x:c>
    </x:row>
    <x:row r="52" ht="42" customHeight="1">
      <x:c r="A52" s="24" t="str">
        <x:v>C2.04</x:v>
      </x:c>
      <x:c r="B52" s="24" t="str">
        <x:v>C — Video Delivery</x:v>
      </x:c>
      <x:c r="C52" s="24" t="str">
        <x:v>C2 — Direct S3 upload</x:v>
      </x:c>
      <x:c r="D52" s="24" t="str">
        <x:v>Upload FE handover</x:v>
      </x:c>
      <x:c r="E52" s="25" t="n">
        <x:v>46333</x:v>
      </x:c>
      <x:c r="F52" s="25" t="n">
        <x:v>46333</x:v>
      </x:c>
      <x:c r="G52" s="26" t="n">
        <x:f>F52-E52+1</x:f>
        <x:v>1</x:v>
      </x:c>
      <x:c r="H52" s="24" t="str">
        <x:v>Deploy nhóm upload lên staging và kiểm thử file nhỏ + multipart file lớn</x:v>
      </x:c>
      <x:c r="I52" s="24" t="str">
        <x:v>Deploy</x:v>
      </x:c>
      <x:c r="J52" s="24" t="str">
        <x:v>Admin upload thật được trên staging</x:v>
      </x:c>
      <x:c r="K52" s="24" t="str">
        <x:v>11 §3.2–3.3</x:v>
      </x:c>
      <x:c r="L52" s="24" t="str">
        <x:v>FE integration/test window: 07–08/11</x:v>
      </x:c>
      <x:c r="M52" s="24" t="str"/>
      <x:c r="N52" s="24" t="str">
        <x:v>C2.03</x:v>
      </x:c>
      <x:c r="O52" s="26" t="str">
        <x:v>P0</x:v>
      </x:c>
      <x:c r="P52" s="26" t="str">
        <x:v>Backend</x:v>
      </x:c>
      <x:c r="Q52" s="26" t="str">
        <x:v>Not Started</x:v>
      </x:c>
      <x:c r="R52" s="26" t="str">
        <x:f>"W"&amp;INT((E52-DATE(2026,10,5))/7)+1</x:f>
        <x:v>W5</x:v>
      </x:c>
      <x:c r="S52" s="24" t="str">
        <x:v>C — Video Delivery &gt; C2 — Direct S3 upload &gt; Upload FE handover</x:v>
      </x:c>
      <x:c r="T52" s="24" t="str">
        <x:v>List = Macro Phase; Card = Work Package; Checklist = Task</x:v>
      </x:c>
    </x:row>
    <x:row r="53" ht="42" customHeight="1">
      <x:c r="A53" s="24" t="str">
        <x:v>C2.05</x:v>
      </x:c>
      <x:c r="B53" s="24" t="str">
        <x:v>C — Video Delivery</x:v>
      </x:c>
      <x:c r="C53" s="24" t="str">
        <x:v>C2 — Direct S3 upload</x:v>
      </x:c>
      <x:c r="D53" s="24" t="str">
        <x:v>Upload fix &amp; close</x:v>
      </x:c>
      <x:c r="E53" s="25" t="n">
        <x:v>46334</x:v>
      </x:c>
      <x:c r="F53" s="25" t="n">
        <x:v>46334</x:v>
      </x:c>
      <x:c r="G53" s="26" t="n">
        <x:f>F53-E53+1</x:f>
        <x:v>1</x:v>
      </x:c>
      <x:c r="H53" s="24" t="str">
        <x:v>Sửa lỗi upload/resume/cancel phát sinh khi FE test và chốt upload group</x:v>
      </x:c>
      <x:c r="I53" s="24" t="str">
        <x:v>Verify</x:v>
      </x:c>
      <x:c r="J53" s="24" t="str">
        <x:v>Upload S3 ổn định, không còn blocker cho worker</x:v>
      </x:c>
      <x:c r="K53" s="24" t="str">
        <x:v>11 §3.3</x:v>
      </x:c>
      <x:c r="L53" s="24" t="str">
        <x:v>FE PASS upload</x:v>
      </x:c>
      <x:c r="M53" s="24" t="str">
        <x:v>★ M7 — Video upload ready</x:v>
      </x:c>
      <x:c r="N53" s="24" t="str">
        <x:v>C2.04</x:v>
      </x:c>
      <x:c r="O53" s="26" t="str">
        <x:v>P0</x:v>
      </x:c>
      <x:c r="P53" s="26" t="str">
        <x:v>Backend</x:v>
      </x:c>
      <x:c r="Q53" s="26" t="str">
        <x:v>Not Started</x:v>
      </x:c>
      <x:c r="R53" s="26" t="str">
        <x:f>"W"&amp;INT((E53-DATE(2026,10,5))/7)+1</x:f>
        <x:v>W5</x:v>
      </x:c>
      <x:c r="S53" s="24" t="str">
        <x:v>C — Video Delivery &gt; C2 — Direct S3 upload &gt; Upload fix &amp; close</x:v>
      </x:c>
      <x:c r="T53" s="24" t="str">
        <x:v>List = Macro Phase; Card = Work Package; Checklist = Task</x:v>
      </x:c>
    </x:row>
    <x:row r="54" ht="42" customHeight="1">
      <x:c r="A54" s="24" t="str">
        <x:v>C3.01</x:v>
      </x:c>
      <x:c r="B54" s="24" t="str">
        <x:v>C — Video Delivery</x:v>
      </x:c>
      <x:c r="C54" s="24" t="str">
        <x:v>C3 — HLS processing</x:v>
      </x:c>
      <x:c r="D54" s="24" t="str">
        <x:v>Worker lifecycle foundation</x:v>
      </x:c>
      <x:c r="E54" s="25" t="n">
        <x:v>46335</x:v>
      </x:c>
      <x:c r="F54" s="25" t="n">
        <x:v>46335</x:v>
      </x:c>
      <x:c r="G54" s="26" t="n">
        <x:f>F54-E54+1</x:f>
        <x:v>1</x:v>
      </x:c>
      <x:c r="H54" s="24" t="str">
        <x:v>Hoàn thiện cơ chế worker lấy job, trạng thái pending/processing/completed/failed và kiểm soát job trùng</x:v>
      </x:c>
      <x:c r="I54" s="24" t="str">
        <x:v>Backend</x:v>
      </x:c>
      <x:c r="J54" s="24" t="str">
        <x:v>Worker có vòng đời job và trạng thái có thể theo dõi</x:v>
      </x:c>
      <x:c r="K54" s="24" t="str">
        <x:v>10 §8.2–8.2.1</x:v>
      </x:c>
      <x:c r="L54" s="24" t="str">
        <x:v>FE chỉ cần status polling sau khi có API</x:v>
      </x:c>
      <x:c r="M54" s="24" t="str"/>
      <x:c r="N54" s="24" t="str">
        <x:v>C2.05</x:v>
      </x:c>
      <x:c r="O54" s="26" t="str">
        <x:v>P0</x:v>
      </x:c>
      <x:c r="P54" s="26" t="str">
        <x:v>Backend</x:v>
      </x:c>
      <x:c r="Q54" s="26" t="str">
        <x:v>Not Started</x:v>
      </x:c>
      <x:c r="R54" s="26" t="str">
        <x:f>"W"&amp;INT((E54-DATE(2026,10,5))/7)+1</x:f>
        <x:v>W6</x:v>
      </x:c>
      <x:c r="S54" s="24" t="str">
        <x:v>C — Video Delivery &gt; C3 — HLS processing &gt; Worker lifecycle foundation</x:v>
      </x:c>
      <x:c r="T54" s="24" t="str">
        <x:v>List = Macro Phase; Card = Work Package; Checklist = Task</x:v>
      </x:c>
    </x:row>
    <x:row r="55" ht="42" customHeight="1">
      <x:c r="A55" s="24" t="str">
        <x:v>C3.02</x:v>
      </x:c>
      <x:c r="B55" s="24" t="str">
        <x:v>C — Video Delivery</x:v>
      </x:c>
      <x:c r="C55" s="24" t="str">
        <x:v>C3 — HLS processing</x:v>
      </x:c>
      <x:c r="D55" s="24" t="str">
        <x:v>FFmpeg/ffprobe setup</x:v>
      </x:c>
      <x:c r="E55" s="25" t="n">
        <x:v>46335</x:v>
      </x:c>
      <x:c r="F55" s="25" t="n">
        <x:v>46335</x:v>
      </x:c>
      <x:c r="G55" s="26" t="n">
        <x:f>F55-E55+1</x:f>
        <x:v>1</x:v>
      </x:c>
      <x:c r="H55" s="24" t="str">
        <x:v>Chuẩn bị FFmpeg/ffprobe trên EC2 worker và kiểm tra xử lý media thật</x:v>
      </x:c>
      <x:c r="I55" s="24" t="str">
        <x:v>Setup</x:v>
      </x:c>
      <x:c r="J55" s="24" t="str">
        <x:v>Worker sẵn sàng xử lý video thật</x:v>
      </x:c>
      <x:c r="K55" s="24" t="str">
        <x:v>10 §3.3; 11 §4</x:v>
      </x:c>
      <x:c r="L55" s="24" t="str">
        <x:v>Không có phụ thuộc FE</x:v>
      </x:c>
      <x:c r="M55" s="24" t="str"/>
      <x:c r="N55" s="24" t="str">
        <x:v>C3.01</x:v>
      </x:c>
      <x:c r="O55" s="26" t="str">
        <x:v>P0</x:v>
      </x:c>
      <x:c r="P55" s="26" t="str">
        <x:v>Backend</x:v>
      </x:c>
      <x:c r="Q55" s="26" t="str">
        <x:v>Not Started</x:v>
      </x:c>
      <x:c r="R55" s="26" t="str">
        <x:f>"W"&amp;INT((E55-DATE(2026,10,5))/7)+1</x:f>
        <x:v>W6</x:v>
      </x:c>
      <x:c r="S55" s="24" t="str">
        <x:v>C — Video Delivery &gt; C3 — HLS processing &gt; FFmpeg/ffprobe setup</x:v>
      </x:c>
      <x:c r="T55" s="24" t="str">
        <x:v>List = Macro Phase; Card = Work Package; Checklist = Task</x:v>
      </x:c>
    </x:row>
    <x:row r="56" ht="42" customHeight="1">
      <x:c r="A56" s="24" t="str">
        <x:v>C3.03</x:v>
      </x:c>
      <x:c r="B56" s="24" t="str">
        <x:v>C — Video Delivery</x:v>
      </x:c>
      <x:c r="C56" s="24" t="str">
        <x:v>C3 — HLS processing</x:v>
      </x:c>
      <x:c r="D56" s="24" t="str">
        <x:v>HLS transcoding</x:v>
      </x:c>
      <x:c r="E56" s="25" t="n">
        <x:v>46336</x:v>
      </x:c>
      <x:c r="F56" s="25" t="n">
        <x:v>46337</x:v>
      </x:c>
      <x:c r="G56" s="26" t="n">
        <x:f>F56-E56+1</x:f>
        <x:v>2</x:v>
      </x:c>
      <x:c r="H56" s="24" t="str">
        <x:v>Hoàn thành chuyển mã HLS 1080p/720p/480p theo thông số đã chốt và lưu output lên S3</x:v>
      </x:c>
      <x:c r="I56" s="24" t="str">
        <x:v>Backend</x:v>
      </x:c>
      <x:c r="J56" s="24" t="str">
        <x:v>Video thật được tạo master.m3u8 và các rendition HLS</x:v>
      </x:c>
      <x:c r="K56" s="24" t="str">
        <x:v>11 §4.1; 10 §3.3</x:v>
      </x:c>
      <x:c r="L56" s="24" t="str">
        <x:v>FE có thể chuẩn bị player HLS</x:v>
      </x:c>
      <x:c r="M56" s="24" t="str"/>
      <x:c r="N56" s="24" t="str">
        <x:v>C3.02</x:v>
      </x:c>
      <x:c r="O56" s="26" t="str">
        <x:v>P0</x:v>
      </x:c>
      <x:c r="P56" s="26" t="str">
        <x:v>Backend</x:v>
      </x:c>
      <x:c r="Q56" s="26" t="str">
        <x:v>Not Started</x:v>
      </x:c>
      <x:c r="R56" s="26" t="str">
        <x:f>"W"&amp;INT((E56-DATE(2026,10,5))/7)+1</x:f>
        <x:v>W6</x:v>
      </x:c>
      <x:c r="S56" s="24" t="str">
        <x:v>C — Video Delivery &gt; C3 — HLS processing &gt; HLS transcoding</x:v>
      </x:c>
      <x:c r="T56" s="24" t="str">
        <x:v>List = Macro Phase; Card = Work Package; Checklist = Task</x:v>
      </x:c>
    </x:row>
    <x:row r="57" ht="42" customHeight="1">
      <x:c r="A57" s="24" t="str">
        <x:v>C3.04</x:v>
      </x:c>
      <x:c r="B57" s="24" t="str">
        <x:v>C — Video Delivery</x:v>
      </x:c>
      <x:c r="C57" s="24" t="str">
        <x:v>C3 — HLS processing</x:v>
      </x:c>
      <x:c r="D57" s="24" t="str">
        <x:v>CloudFront delivery</x:v>
      </x:c>
      <x:c r="E57" s="25" t="n">
        <x:v>46338</x:v>
      </x:c>
      <x:c r="F57" s="25" t="n">
        <x:v>46338</x:v>
      </x:c>
      <x:c r="G57" s="26" t="n">
        <x:f>F57-E57+1</x:f>
        <x:v>1</x:v>
      </x:c>
      <x:c r="H57" s="24" t="str">
        <x:v>Đưa HLS qua CloudFront và kiểm tra playlist/segments có thể truy cập ổn định</x:v>
      </x:c>
      <x:c r="I57" s="24" t="str">
        <x:v>Verify</x:v>
      </x:c>
      <x:c r="J57" s="24" t="str">
        <x:v>CloudFront phân phối HLS thành công</x:v>
      </x:c>
      <x:c r="K57" s="24" t="str">
        <x:v>10 §4.1; 11 §4.1</x:v>
      </x:c>
      <x:c r="L57" s="24" t="str">
        <x:v>FE test playback</x:v>
      </x:c>
      <x:c r="M57" s="24" t="str"/>
      <x:c r="N57" s="24" t="str">
        <x:v>C3.03; A2.08</x:v>
      </x:c>
      <x:c r="O57" s="26" t="str">
        <x:v>P0</x:v>
      </x:c>
      <x:c r="P57" s="26" t="str">
        <x:v>Backend</x:v>
      </x:c>
      <x:c r="Q57" s="26" t="str">
        <x:v>Not Started</x:v>
      </x:c>
      <x:c r="R57" s="26" t="str">
        <x:f>"W"&amp;INT((E57-DATE(2026,10,5))/7)+1</x:f>
        <x:v>W6</x:v>
      </x:c>
      <x:c r="S57" s="24" t="str">
        <x:v>C — Video Delivery &gt; C3 — HLS processing &gt; CloudFront delivery</x:v>
      </x:c>
      <x:c r="T57" s="24" t="str">
        <x:v>List = Macro Phase; Card = Work Package; Checklist = Task</x:v>
      </x:c>
    </x:row>
    <x:row r="58" ht="42" customHeight="1">
      <x:c r="A58" s="24" t="str">
        <x:v>C3.05</x:v>
      </x:c>
      <x:c r="B58" s="24" t="str">
        <x:v>C — Video Delivery</x:v>
      </x:c>
      <x:c r="C58" s="24" t="str">
        <x:v>C3 — Pipeline control</x:v>
      </x:c>
      <x:c r="D58" s="24" t="str">
        <x:v>Pipeline status/list</x:v>
      </x:c>
      <x:c r="E58" s="25" t="n">
        <x:v>46338</x:v>
      </x:c>
      <x:c r="F58" s="25" t="n">
        <x:v>46339</x:v>
      </x:c>
      <x:c r="G58" s="26" t="n">
        <x:f>F58-E58+1</x:f>
        <x:v>2</x:v>
      </x:c>
      <x:c r="H58" s="24" t="str">
        <x:v>Hoàn thành status từng video, danh sách pipeline, retry và cancel theo contract</x:v>
      </x:c>
      <x:c r="I58" s="24" t="str">
        <x:v>Backend</x:v>
      </x:c>
      <x:c r="J58" s="24" t="str">
        <x:v>Admin theo dõi và điều khiển pipeline qua API</x:v>
      </x:c>
      <x:c r="K58" s="24" t="str">
        <x:v>08 §9.2–9.5; 10 §8.2</x:v>
      </x:c>
      <x:c r="L58" s="24" t="str">
        <x:v>FE Admin pipeline integration</x:v>
      </x:c>
      <x:c r="M58" s="24" t="str"/>
      <x:c r="N58" s="24" t="str">
        <x:v>C3.01; C3.03</x:v>
      </x:c>
      <x:c r="O58" s="26" t="str">
        <x:v>P0</x:v>
      </x:c>
      <x:c r="P58" s="26" t="str">
        <x:v>Backend</x:v>
      </x:c>
      <x:c r="Q58" s="26" t="str">
        <x:v>Not Started</x:v>
      </x:c>
      <x:c r="R58" s="26" t="str">
        <x:f>"W"&amp;INT((E58-DATE(2026,10,5))/7)+1</x:f>
        <x:v>W6</x:v>
      </x:c>
      <x:c r="S58" s="24" t="str">
        <x:v>C — Video Delivery &gt; C3 — Pipeline control &gt; Pipeline status/list</x:v>
      </x:c>
      <x:c r="T58" s="24" t="str">
        <x:v>List = Macro Phase; Card = Work Package; Checklist = Task</x:v>
      </x:c>
    </x:row>
    <x:row r="59" ht="42" customHeight="1">
      <x:c r="A59" s="24" t="str">
        <x:v>C3.06</x:v>
      </x:c>
      <x:c r="B59" s="24" t="str">
        <x:v>C — Video Delivery</x:v>
      </x:c>
      <x:c r="C59" s="24" t="str">
        <x:v>C3 — Pipeline control</x:v>
      </x:c>
      <x:c r="D59" s="24" t="str">
        <x:v>Video staging handover</x:v>
      </x:c>
      <x:c r="E59" s="25" t="n">
        <x:v>46339</x:v>
      </x:c>
      <x:c r="F59" s="25" t="n">
        <x:v>46339</x:v>
      </x:c>
      <x:c r="G59" s="26" t="n">
        <x:f>F59-E59+1</x:f>
        <x:v>1</x:v>
      </x:c>
      <x:c r="H59" s="24" t="str">
        <x:v>Deploy full upload→HLS pipeline lên staging và bàn giao cho FE test</x:v>
      </x:c>
      <x:c r="I59" s="24" t="str">
        <x:v>Deploy</x:v>
      </x:c>
      <x:c r="J59" s="24" t="str">
        <x:v>Video processing + CloudFront chạy end-to-end</x:v>
      </x:c>
      <x:c r="K59" s="24" t="str">
        <x:v>08 §9; 11 §3–4</x:v>
      </x:c>
      <x:c r="L59" s="24" t="str">
        <x:v>FE integration/test window: 13–15/11</x:v>
      </x:c>
      <x:c r="M59" s="24" t="str"/>
      <x:c r="N59" s="24" t="str">
        <x:v>C3.04; C3.05</x:v>
      </x:c>
      <x:c r="O59" s="26" t="str">
        <x:v>P0</x:v>
      </x:c>
      <x:c r="P59" s="26" t="str">
        <x:v>Backend</x:v>
      </x:c>
      <x:c r="Q59" s="26" t="str">
        <x:v>Not Started</x:v>
      </x:c>
      <x:c r="R59" s="26" t="str">
        <x:f>"W"&amp;INT((E59-DATE(2026,10,5))/7)+1</x:f>
        <x:v>W6</x:v>
      </x:c>
      <x:c r="S59" s="24" t="str">
        <x:v>C — Video Delivery &gt; C3 — Pipeline control &gt; Video staging handover</x:v>
      </x:c>
      <x:c r="T59" s="24" t="str">
        <x:v>List = Macro Phase; Card = Work Package; Checklist = Task</x:v>
      </x:c>
    </x:row>
    <x:row r="60" ht="42" customHeight="1">
      <x:c r="A60" s="24" t="str">
        <x:v>C3.07</x:v>
      </x:c>
      <x:c r="B60" s="24" t="str">
        <x:v>C — Video Delivery</x:v>
      </x:c>
      <x:c r="C60" s="24" t="str">
        <x:v>C3 — Pipeline control</x:v>
      </x:c>
      <x:c r="D60" s="24" t="str">
        <x:v>Video fix &amp; close</x:v>
      </x:c>
      <x:c r="E60" s="25" t="n">
        <x:v>46341</x:v>
      </x:c>
      <x:c r="F60" s="25" t="n">
        <x:v>46342</x:v>
      </x:c>
      <x:c r="G60" s="26" t="n">
        <x:f>F60-E60+1</x:f>
        <x:v>2</x:v>
      </x:c>
      <x:c r="H60" s="24" t="str">
        <x:v>Sửa lỗi player/pipeline/retry/cancel và kiểm tra lại bằng video thật</x:v>
      </x:c>
      <x:c r="I60" s="24" t="str">
        <x:v>Verify</x:v>
      </x:c>
      <x:c r="J60" s="24" t="str">
        <x:v>Video upload, HLS playback và pipeline control PASS</x:v>
      </x:c>
      <x:c r="K60" s="24" t="str">
        <x:v>08 §9; 10 §8.2; 11 §4</x:v>
      </x:c>
      <x:c r="L60" s="24" t="str">
        <x:v>FE PASS</x:v>
      </x:c>
      <x:c r="M60" s="24" t="str">
        <x:v>★ M8 — Video delivery ready</x:v>
      </x:c>
      <x:c r="N60" s="24" t="str">
        <x:v>C3.06</x:v>
      </x:c>
      <x:c r="O60" s="26" t="str">
        <x:v>P0</x:v>
      </x:c>
      <x:c r="P60" s="26" t="str">
        <x:v>Backend</x:v>
      </x:c>
      <x:c r="Q60" s="26" t="str">
        <x:v>Not Started</x:v>
      </x:c>
      <x:c r="R60" s="26" t="str">
        <x:f>"W"&amp;INT((E60-DATE(2026,10,5))/7)+1</x:f>
        <x:v>W6</x:v>
      </x:c>
      <x:c r="S60" s="24" t="str">
        <x:v>C — Video Delivery &gt; C3 — Pipeline control &gt; Video fix &amp; close</x:v>
      </x:c>
      <x:c r="T60" s="24" t="str">
        <x:v>List = Macro Phase; Card = Work Package; Checklist = Task</x:v>
      </x:c>
    </x:row>
    <x:row r="61" ht="42" customHeight="1">
      <x:c r="A61" s="30" t="str">
        <x:v>D1.01</x:v>
      </x:c>
      <x:c r="B61" s="30" t="str">
        <x:v>D — Transcript &amp; Knowledge</x:v>
      </x:c>
      <x:c r="C61" s="30" t="str">
        <x:v>D1 — Audio &amp; Whisper</x:v>
      </x:c>
      <x:c r="D61" s="30" t="str">
        <x:v>Whisper environment</x:v>
      </x:c>
      <x:c r="E61" s="31" t="n">
        <x:v>46343</x:v>
      </x:c>
      <x:c r="F61" s="31" t="n">
        <x:v>46343</x:v>
      </x:c>
      <x:c r="G61" s="32" t="n">
        <x:f>F61-E61+1</x:f>
        <x:v>1</x:v>
      </x:c>
      <x:c r="H61" s="30" t="str">
        <x:v>Cài faster-whisper/model small trên worker và kiểm tra CPU/int8 theo cấu hình đã chốt</x:v>
      </x:c>
      <x:c r="I61" s="30" t="str">
        <x:v>Setup</x:v>
      </x:c>
      <x:c r="J61" s="30" t="str">
        <x:v>Worker có môi trường STT ổn định</x:v>
      </x:c>
      <x:c r="K61" s="30" t="str">
        <x:v>11 §5.2</x:v>
      </x:c>
      <x:c r="L61" s="30" t="str">
        <x:v>Không có phụ thuộc FE</x:v>
      </x:c>
      <x:c r="M61" s="30" t="str"/>
      <x:c r="N61" s="30" t="str">
        <x:v>C3.07</x:v>
      </x:c>
      <x:c r="O61" s="32" t="str">
        <x:v>P0</x:v>
      </x:c>
      <x:c r="P61" s="32" t="str">
        <x:v>Backend</x:v>
      </x:c>
      <x:c r="Q61" s="32" t="str">
        <x:v>Not Started</x:v>
      </x:c>
      <x:c r="R61" s="32" t="str">
        <x:f>"W"&amp;INT((E61-DATE(2026,10,5))/7)+1</x:f>
        <x:v>W7</x:v>
      </x:c>
      <x:c r="S61" s="30" t="str">
        <x:v>D — Transcript &amp; Knowledge &gt; D1 — Audio &amp; Whisper &gt; Whisper environment</x:v>
      </x:c>
      <x:c r="T61" s="30" t="str">
        <x:v>List = Macro Phase; Card = Work Package; Checklist = Task</x:v>
      </x:c>
    </x:row>
    <x:row r="62" ht="42" customHeight="1">
      <x:c r="A62" s="30" t="str">
        <x:v>D1.02</x:v>
      </x:c>
      <x:c r="B62" s="30" t="str">
        <x:v>D — Transcript &amp; Knowledge</x:v>
      </x:c>
      <x:c r="C62" s="30" t="str">
        <x:v>D1 — Audio &amp; Whisper</x:v>
      </x:c>
      <x:c r="D62" s="30" t="str">
        <x:v>Audio extraction</x:v>
      </x:c>
      <x:c r="E62" s="31" t="n">
        <x:v>46344</x:v>
      </x:c>
      <x:c r="F62" s="31" t="n">
        <x:v>46344</x:v>
      </x:c>
      <x:c r="G62" s="32" t="n">
        <x:f>F62-E62+1</x:f>
        <x:v>1</x:v>
      </x:c>
      <x:c r="H62" s="30" t="str">
        <x:v>Hoàn thành trích xuất WAV mono 16kHz làm input cho Whisper và dọn file tạm</x:v>
      </x:c>
      <x:c r="I62" s="30" t="str">
        <x:v>Backend</x:v>
      </x:c>
      <x:c r="J62" s="30" t="str">
        <x:v>Có audio trung gian đúng chuẩn, không để lại file tạm không cần thiết</x:v>
      </x:c>
      <x:c r="K62" s="30" t="str">
        <x:v>11 §4.2, §5.2</x:v>
      </x:c>
      <x:c r="L62" s="30" t="str">
        <x:v>Không có phụ thuộc FE</x:v>
      </x:c>
      <x:c r="M62" s="30" t="str"/>
      <x:c r="N62" s="30" t="str">
        <x:v>D1.01</x:v>
      </x:c>
      <x:c r="O62" s="32" t="str">
        <x:v>P0</x:v>
      </x:c>
      <x:c r="P62" s="32" t="str">
        <x:v>Backend</x:v>
      </x:c>
      <x:c r="Q62" s="32" t="str">
        <x:v>Not Started</x:v>
      </x:c>
      <x:c r="R62" s="32" t="str">
        <x:f>"W"&amp;INT((E62-DATE(2026,10,5))/7)+1</x:f>
        <x:v>W7</x:v>
      </x:c>
      <x:c r="S62" s="30" t="str">
        <x:v>D — Transcript &amp; Knowledge &gt; D1 — Audio &amp; Whisper &gt; Audio extraction</x:v>
      </x:c>
      <x:c r="T62" s="30" t="str">
        <x:v>List = Macro Phase; Card = Work Package; Checklist = Task</x:v>
      </x:c>
    </x:row>
    <x:row r="63" ht="42" customHeight="1">
      <x:c r="A63" s="30" t="str">
        <x:v>D1.03</x:v>
      </x:c>
      <x:c r="B63" s="30" t="str">
        <x:v>D — Transcript &amp; Knowledge</x:v>
      </x:c>
      <x:c r="C63" s="30" t="str">
        <x:v>D1 — Audio &amp; Whisper</x:v>
      </x:c>
      <x:c r="D63" s="30" t="str">
        <x:v>Transcription</x:v>
      </x:c>
      <x:c r="E63" s="31" t="n">
        <x:v>46344</x:v>
      </x:c>
      <x:c r="F63" s="31" t="n">
        <x:v>46345</x:v>
      </x:c>
      <x:c r="G63" s="32" t="n">
        <x:f>F63-E63+1</x:f>
        <x:v>2</x:v>
      </x:c>
      <x:c r="H63" s="30" t="str">
        <x:v>Hoàn thành phiên âm tiếng Việt bằng Whisper và lưu kết quả có timestamp</x:v>
      </x:c>
      <x:c r="I63" s="30" t="str">
        <x:v>Backend</x:v>
      </x:c>
      <x:c r="J63" s="30" t="str">
        <x:v>Video thật sinh được transcript có mốc thời gian</x:v>
      </x:c>
      <x:c r="K63" s="30" t="str">
        <x:v>11 §5.2–5.3</x:v>
      </x:c>
      <x:c r="L63" s="30" t="str">
        <x:v>FE chuẩn bị subtitle UI</x:v>
      </x:c>
      <x:c r="M63" s="30" t="str"/>
      <x:c r="N63" s="30" t="str">
        <x:v>D1.02</x:v>
      </x:c>
      <x:c r="O63" s="32" t="str">
        <x:v>P0</x:v>
      </x:c>
      <x:c r="P63" s="32" t="str">
        <x:v>Backend</x:v>
      </x:c>
      <x:c r="Q63" s="32" t="str">
        <x:v>Not Started</x:v>
      </x:c>
      <x:c r="R63" s="32" t="str">
        <x:f>"W"&amp;INT((E63-DATE(2026,10,5))/7)+1</x:f>
        <x:v>W7</x:v>
      </x:c>
      <x:c r="S63" s="30" t="str">
        <x:v>D — Transcript &amp; Knowledge &gt; D1 — Audio &amp; Whisper &gt; Transcription</x:v>
      </x:c>
      <x:c r="T63" s="30" t="str">
        <x:v>List = Macro Phase; Card = Work Package; Checklist = Task</x:v>
      </x:c>
    </x:row>
    <x:row r="64" ht="42" customHeight="1">
      <x:c r="A64" s="30" t="str">
        <x:v>D1.04</x:v>
      </x:c>
      <x:c r="B64" s="30" t="str">
        <x:v>D — Transcript &amp; Knowledge</x:v>
      </x:c>
      <x:c r="C64" s="30" t="str">
        <x:v>D1 — Audio &amp; Whisper</x:v>
      </x:c>
      <x:c r="D64" s="30" t="str">
        <x:v>Transcript persistence</x:v>
      </x:c>
      <x:c r="E64" s="31" t="n">
        <x:v>46345</x:v>
      </x:c>
      <x:c r="F64" s="31" t="n">
        <x:v>46345</x:v>
      </x:c>
      <x:c r="G64" s="32" t="n">
        <x:f>F64-E64+1</x:f>
        <x:v>1</x:v>
      </x:c>
      <x:c r="H64" s="30" t="str">
        <x:v>Hoàn thành lưu transcript và transcript segments vào RDS theo schema</x:v>
      </x:c>
      <x:c r="I64" s="30" t="str">
        <x:v>Backend</x:v>
      </x:c>
      <x:c r="J64" s="30" t="str">
        <x:v>Transcript được truy xuất lại ổn định từ database</x:v>
      </x:c>
      <x:c r="K64" s="30" t="str">
        <x:v>09 §3.3, §5.4; 11 §5</x:v>
      </x:c>
      <x:c r="L64" s="30" t="str">
        <x:v>FE chưa test chức năng</x:v>
      </x:c>
      <x:c r="M64" s="30" t="str"/>
      <x:c r="N64" s="30" t="str">
        <x:v>D1.03</x:v>
      </x:c>
      <x:c r="O64" s="32" t="str">
        <x:v>P0</x:v>
      </x:c>
      <x:c r="P64" s="32" t="str">
        <x:v>Backend</x:v>
      </x:c>
      <x:c r="Q64" s="32" t="str">
        <x:v>Not Started</x:v>
      </x:c>
      <x:c r="R64" s="32" t="str">
        <x:f>"W"&amp;INT((E64-DATE(2026,10,5))/7)+1</x:f>
        <x:v>W7</x:v>
      </x:c>
      <x:c r="S64" s="30" t="str">
        <x:v>D — Transcript &amp; Knowledge &gt; D1 — Audio &amp; Whisper &gt; Transcript persistence</x:v>
      </x:c>
      <x:c r="T64" s="30" t="str">
        <x:v>List = Macro Phase; Card = Work Package; Checklist = Task</x:v>
      </x:c>
    </x:row>
    <x:row r="65" ht="42" customHeight="1">
      <x:c r="A65" s="30" t="str">
        <x:v>D2.01</x:v>
      </x:c>
      <x:c r="B65" s="30" t="str">
        <x:v>D — Transcript &amp; Knowledge</x:v>
      </x:c>
      <x:c r="C65" s="30" t="str">
        <x:v>D2 — Transcript API</x:v>
      </x:c>
      <x:c r="D65" s="30" t="str">
        <x:v>Student transcript delivery</x:v>
      </x:c>
      <x:c r="E65" s="31" t="n">
        <x:v>46346</x:v>
      </x:c>
      <x:c r="F65" s="31" t="n">
        <x:v>46346</x:v>
      </x:c>
      <x:c r="G65" s="32" t="n">
        <x:f>F65-E65+1</x:f>
        <x:v>1</x:v>
      </x:c>
      <x:c r="H65" s="30" t="str">
        <x:v>Hoàn thành dữ liệu phụ đề đồng bộ phục vụ player và luồng xem bài giảng</x:v>
      </x:c>
      <x:c r="I65" s="30" t="str">
        <x:v>Backend</x:v>
      </x:c>
      <x:c r="J65" s="30" t="str">
        <x:v>FE nhận được transcript/segments phù hợp với player</x:v>
      </x:c>
      <x:c r="K65" s="30" t="str">
        <x:v>08 §2.7; 11 §5.3</x:v>
      </x:c>
      <x:c r="L65" s="30" t="str">
        <x:v>FE test subtitle/timestamp</x:v>
      </x:c>
      <x:c r="M65" s="30" t="str"/>
      <x:c r="N65" s="30" t="str">
        <x:v>D1.04</x:v>
      </x:c>
      <x:c r="O65" s="32" t="str">
        <x:v>P0</x:v>
      </x:c>
      <x:c r="P65" s="32" t="str">
        <x:v>Backend</x:v>
      </x:c>
      <x:c r="Q65" s="32" t="str">
        <x:v>Not Started</x:v>
      </x:c>
      <x:c r="R65" s="32" t="str">
        <x:f>"W"&amp;INT((E65-DATE(2026,10,5))/7)+1</x:f>
        <x:v>W7</x:v>
      </x:c>
      <x:c r="S65" s="30" t="str">
        <x:v>D — Transcript &amp; Knowledge &gt; D2 — Transcript API &gt; Student transcript delivery</x:v>
      </x:c>
      <x:c r="T65" s="30" t="str">
        <x:v>List = Macro Phase; Card = Work Package; Checklist = Task</x:v>
      </x:c>
    </x:row>
    <x:row r="66" ht="42" customHeight="1">
      <x:c r="A66" s="30" t="str">
        <x:v>D2.02</x:v>
      </x:c>
      <x:c r="B66" s="30" t="str">
        <x:v>D — Transcript &amp; Knowledge</x:v>
      </x:c>
      <x:c r="C66" s="30" t="str">
        <x:v>D2 — Transcript API</x:v>
      </x:c>
      <x:c r="D66" s="30" t="str">
        <x:v>Admin transcript management</x:v>
      </x:c>
      <x:c r="E66" s="31" t="n">
        <x:v>46347</x:v>
      </x:c>
      <x:c r="F66" s="31" t="n">
        <x:v>46348</x:v>
      </x:c>
      <x:c r="G66" s="32" t="n">
        <x:f>F66-E66+1</x:f>
        <x:v>2</x:v>
      </x:c>
      <x:c r="H66" s="30" t="str">
        <x:v>Hoàn thành lấy/cập nhật transcript cho Admin và luồng chỉnh sửa nội dung</x:v>
      </x:c>
      <x:c r="I66" s="30" t="str">
        <x:v>Backend</x:v>
      </x:c>
      <x:c r="J66" s="30" t="str">
        <x:v>Admin sửa transcript được theo contract</x:v>
      </x:c>
      <x:c r="K66" s="30" t="str">
        <x:v>08 §9.6; 09 transcripts</x:v>
      </x:c>
      <x:c r="L66" s="30" t="str">
        <x:v>FE Admin transcript editor test</x:v>
      </x:c>
      <x:c r="M66" s="30" t="str"/>
      <x:c r="N66" s="30" t="str">
        <x:v>D1.04</x:v>
      </x:c>
      <x:c r="O66" s="32" t="str">
        <x:v>P0</x:v>
      </x:c>
      <x:c r="P66" s="32" t="str">
        <x:v>Backend</x:v>
      </x:c>
      <x:c r="Q66" s="32" t="str">
        <x:v>Not Started</x:v>
      </x:c>
      <x:c r="R66" s="32" t="str">
        <x:f>"W"&amp;INT((E66-DATE(2026,10,5))/7)+1</x:f>
        <x:v>W7</x:v>
      </x:c>
      <x:c r="S66" s="30" t="str">
        <x:v>D — Transcript &amp; Knowledge &gt; D2 — Transcript API &gt; Admin transcript management</x:v>
      </x:c>
      <x:c r="T66" s="30" t="str">
        <x:v>List = Macro Phase; Card = Work Package; Checklist = Task</x:v>
      </x:c>
    </x:row>
    <x:row r="67" ht="42" customHeight="1">
      <x:c r="A67" s="30" t="str">
        <x:v>D2.03</x:v>
      </x:c>
      <x:c r="B67" s="30" t="str">
        <x:v>D — Transcript &amp; Knowledge</x:v>
      </x:c>
      <x:c r="C67" s="30" t="str">
        <x:v>D2 — Transcript API</x:v>
      </x:c>
      <x:c r="D67" s="30" t="str">
        <x:v>Version/reindex trigger</x:v>
      </x:c>
      <x:c r="E67" s="31" t="n">
        <x:v>46348</x:v>
      </x:c>
      <x:c r="F67" s="31" t="n">
        <x:v>46349</x:v>
      </x:c>
      <x:c r="G67" s="32" t="n">
        <x:f>F67-E67+1</x:f>
        <x:v>2</x:v>
      </x:c>
      <x:c r="H67" s="30" t="str">
        <x:v>Hoàn thiện hành vi tăng phiên bản transcript khi chỉnh sửa và tạo yêu cầu lập chỉ mục lại</x:v>
      </x:c>
      <x:c r="I67" s="30" t="str">
        <x:v>Backend</x:v>
      </x:c>
      <x:c r="J67" s="30" t="str">
        <x:v>Chỉnh sửa transcript không làm mất thế hệ cũ và có trigger reindex</x:v>
      </x:c>
      <x:c r="K67" s="30" t="str">
        <x:v>09 §9.1; 11 §11.2</x:v>
      </x:c>
      <x:c r="L67" s="30" t="str">
        <x:v>FE chưa cần test sâu; chỉ cần verify status</x:v>
      </x:c>
      <x:c r="M67" s="30" t="str"/>
      <x:c r="N67" s="30" t="str">
        <x:v>D2.02</x:v>
      </x:c>
      <x:c r="O67" s="32" t="str">
        <x:v>P0</x:v>
      </x:c>
      <x:c r="P67" s="32" t="str">
        <x:v>Backend</x:v>
      </x:c>
      <x:c r="Q67" s="32" t="str">
        <x:v>Not Started</x:v>
      </x:c>
      <x:c r="R67" s="32" t="str">
        <x:f>"W"&amp;INT((E67-DATE(2026,10,5))/7)+1</x:f>
        <x:v>W7</x:v>
      </x:c>
      <x:c r="S67" s="30" t="str">
        <x:v>D — Transcript &amp; Knowledge &gt; D2 — Transcript API &gt; Version/reindex trigger</x:v>
      </x:c>
      <x:c r="T67" s="30" t="str">
        <x:v>List = Macro Phase; Card = Work Package; Checklist = Task</x:v>
      </x:c>
    </x:row>
    <x:row r="68" ht="42" customHeight="1">
      <x:c r="A68" s="30" t="str">
        <x:v>D2.04</x:v>
      </x:c>
      <x:c r="B68" s="30" t="str">
        <x:v>D — Transcript &amp; Knowledge</x:v>
      </x:c>
      <x:c r="C68" s="30" t="str">
        <x:v>D2 — Transcript API</x:v>
      </x:c>
      <x:c r="D68" s="30" t="str">
        <x:v>Transcript staging handover</x:v>
      </x:c>
      <x:c r="E68" s="31" t="n">
        <x:v>46349</x:v>
      </x:c>
      <x:c r="F68" s="31" t="n">
        <x:v>46349</x:v>
      </x:c>
      <x:c r="G68" s="32" t="n">
        <x:f>F68-E68+1</x:f>
        <x:v>1</x:v>
      </x:c>
      <x:c r="H68" s="30" t="str">
        <x:v>Deploy nhóm Transcript lên staging và bàn giao FE kiểm tra subtitle/editor</x:v>
      </x:c>
      <x:c r="I68" s="30" t="str">
        <x:v>Deploy</x:v>
      </x:c>
      <x:c r="J68" s="30" t="str">
        <x:v>Transcript group hoạt động trên video thật</x:v>
      </x:c>
      <x:c r="K68" s="30" t="str">
        <x:v>08 §9.6; 11 §5</x:v>
      </x:c>
      <x:c r="L68" s="30" t="str">
        <x:v>FE integration/test window: 23–24/11</x:v>
      </x:c>
      <x:c r="M68" s="30" t="str"/>
      <x:c r="N68" s="30" t="str">
        <x:v>D2.01; D2.02</x:v>
      </x:c>
      <x:c r="O68" s="32" t="str">
        <x:v>P0</x:v>
      </x:c>
      <x:c r="P68" s="32" t="str">
        <x:v>Backend</x:v>
      </x:c>
      <x:c r="Q68" s="32" t="str">
        <x:v>Not Started</x:v>
      </x:c>
      <x:c r="R68" s="32" t="str">
        <x:f>"W"&amp;INT((E68-DATE(2026,10,5))/7)+1</x:f>
        <x:v>W8</x:v>
      </x:c>
      <x:c r="S68" s="30" t="str">
        <x:v>D — Transcript &amp; Knowledge &gt; D2 — Transcript API &gt; Transcript staging handover</x:v>
      </x:c>
      <x:c r="T68" s="30" t="str">
        <x:v>List = Macro Phase; Card = Work Package; Checklist = Task</x:v>
      </x:c>
    </x:row>
    <x:row r="69" ht="42" customHeight="1">
      <x:c r="A69" s="30" t="str">
        <x:v>D2.05</x:v>
      </x:c>
      <x:c r="B69" s="30" t="str">
        <x:v>D — Transcript &amp; Knowledge</x:v>
      </x:c>
      <x:c r="C69" s="30" t="str">
        <x:v>D2 — Transcript API</x:v>
      </x:c>
      <x:c r="D69" s="30" t="str">
        <x:v>Transcript fix &amp; close</x:v>
      </x:c>
      <x:c r="E69" s="31" t="n">
        <x:v>46350</x:v>
      </x:c>
      <x:c r="F69" s="31" t="n">
        <x:v>46350</x:v>
      </x:c>
      <x:c r="G69" s="32" t="n">
        <x:f>F69-E69+1</x:f>
        <x:v>1</x:v>
      </x:c>
      <x:c r="H69" s="30" t="str">
        <x:v>Sửa lỗi subtitle/timestamp/editor và chốt transcript group</x:v>
      </x:c>
      <x:c r="I69" s="30" t="str">
        <x:v>Verify</x:v>
      </x:c>
      <x:c r="J69" s="30" t="str">
        <x:v>FE PASS transcript + subtitle + admin edit</x:v>
      </x:c>
      <x:c r="K69" s="30" t="str">
        <x:v>08 §2.7, §9.6</x:v>
      </x:c>
      <x:c r="L69" s="30" t="str">
        <x:v>FE PASS</x:v>
      </x:c>
      <x:c r="M69" s="30" t="str"/>
      <x:c r="N69" s="30" t="str">
        <x:v>D2.04</x:v>
      </x:c>
      <x:c r="O69" s="32" t="str">
        <x:v>P0</x:v>
      </x:c>
      <x:c r="P69" s="32" t="str">
        <x:v>Backend</x:v>
      </x:c>
      <x:c r="Q69" s="32" t="str">
        <x:v>Not Started</x:v>
      </x:c>
      <x:c r="R69" s="32" t="str">
        <x:f>"W"&amp;INT((E69-DATE(2026,10,5))/7)+1</x:f>
        <x:v>W8</x:v>
      </x:c>
      <x:c r="S69" s="30" t="str">
        <x:v>D — Transcript &amp; Knowledge &gt; D2 — Transcript API &gt; Transcript fix &amp; close</x:v>
      </x:c>
      <x:c r="T69" s="30" t="str">
        <x:v>List = Macro Phase; Card = Work Package; Checklist = Task</x:v>
      </x:c>
    </x:row>
    <x:row r="70" ht="42" customHeight="1">
      <x:c r="A70" s="30" t="str">
        <x:v>D3.01</x:v>
      </x:c>
      <x:c r="B70" s="30" t="str">
        <x:v>D — Transcript &amp; Knowledge</x:v>
      </x:c>
      <x:c r="C70" s="30" t="str">
        <x:v>D3 — AI data preparation</x:v>
      </x:c>
      <x:c r="D70" s="30" t="str">
        <x:v>Chunk configuration</x:v>
      </x:c>
      <x:c r="E70" s="31" t="n">
        <x:v>46351</x:v>
      </x:c>
      <x:c r="F70" s="31" t="n">
        <x:v>46352</x:v>
      </x:c>
      <x:c r="G70" s="32" t="n">
        <x:f>F70-E70+1</x:f>
        <x:v>2</x:v>
      </x:c>
      <x:c r="H70" s="30" t="str">
        <x:v>Hoàn thành chunking transcript theo cấu hình và metadata phiên bản</x:v>
      </x:c>
      <x:c r="I70" s="30" t="str">
        <x:v>Backend</x:v>
      </x:c>
      <x:c r="J70" s="30" t="str">
        <x:v>Mỗi lesson có tập lesson_chunks truy xuất được và có version</x:v>
      </x:c>
      <x:c r="K70" s="30" t="str">
        <x:v>11 §6; 09 §3.3</x:v>
      </x:c>
      <x:c r="L70" s="30" t="str">
        <x:v>FE không cần test UI</x:v>
      </x:c>
      <x:c r="M70" s="30" t="str"/>
      <x:c r="N70" s="30" t="str">
        <x:v>D2.05</x:v>
      </x:c>
      <x:c r="O70" s="32" t="str">
        <x:v>P0</x:v>
      </x:c>
      <x:c r="P70" s="32" t="str">
        <x:v>Backend</x:v>
      </x:c>
      <x:c r="Q70" s="32" t="str">
        <x:v>Not Started</x:v>
      </x:c>
      <x:c r="R70" s="32" t="str">
        <x:f>"W"&amp;INT((E70-DATE(2026,10,5))/7)+1</x:f>
        <x:v>W8</x:v>
      </x:c>
      <x:c r="S70" s="30" t="str">
        <x:v>D — Transcript &amp; Knowledge &gt; D3 — AI data preparation &gt; Chunk configuration</x:v>
      </x:c>
      <x:c r="T70" s="30" t="str">
        <x:v>List = Macro Phase; Card = Work Package; Checklist = Task</x:v>
      </x:c>
    </x:row>
    <x:row r="71" ht="42" customHeight="1">
      <x:c r="A71" s="30" t="str">
        <x:v>D3.02</x:v>
      </x:c>
      <x:c r="B71" s="30" t="str">
        <x:v>D — Transcript &amp; Knowledge</x:v>
      </x:c>
      <x:c r="C71" s="30" t="str">
        <x:v>D3 — AI data preparation</x:v>
      </x:c>
      <x:c r="D71" s="30" t="str">
        <x:v>Embedding generation</x:v>
      </x:c>
      <x:c r="E71" s="31" t="n">
        <x:v>46353</x:v>
      </x:c>
      <x:c r="F71" s="31" t="n">
        <x:v>46354</x:v>
      </x:c>
      <x:c r="G71" s="32" t="n">
        <x:f>F71-E71+1</x:f>
        <x:v>2</x:v>
      </x:c>
      <x:c r="H71" s="30" t="str">
        <x:v>Hoàn thành tạo embedding cho chunk bằng model đã chốt và lưu version</x:v>
      </x:c>
      <x:c r="I71" s="30" t="str">
        <x:v>Backend</x:v>
      </x:c>
      <x:c r="J71" s="30" t="str">
        <x:v>Chunk có vector tương ứng và version rõ ràng</x:v>
      </x:c>
      <x:c r="K71" s="30" t="str">
        <x:v>10 §3.4; 09 §7; 11 §7</x:v>
      </x:c>
      <x:c r="L71" s="30" t="str">
        <x:v>FE chưa test Q&amp;A</x:v>
      </x:c>
      <x:c r="M71" s="30" t="str"/>
      <x:c r="N71" s="30" t="str">
        <x:v>D3.01; A3.02</x:v>
      </x:c>
      <x:c r="O71" s="32" t="str">
        <x:v>P0</x:v>
      </x:c>
      <x:c r="P71" s="32" t="str">
        <x:v>Backend</x:v>
      </x:c>
      <x:c r="Q71" s="32" t="str">
        <x:v>Not Started</x:v>
      </x:c>
      <x:c r="R71" s="32" t="str">
        <x:f>"W"&amp;INT((E71-DATE(2026,10,5))/7)+1</x:f>
        <x:v>W8</x:v>
      </x:c>
      <x:c r="S71" s="30" t="str">
        <x:v>D — Transcript &amp; Knowledge &gt; D3 — AI data preparation &gt; Embedding generation</x:v>
      </x:c>
      <x:c r="T71" s="30" t="str">
        <x:v>List = Macro Phase; Card = Work Package; Checklist = Task</x:v>
      </x:c>
    </x:row>
    <x:row r="72" ht="42" customHeight="1">
      <x:c r="A72" s="30" t="str">
        <x:v>D3.03</x:v>
      </x:c>
      <x:c r="B72" s="30" t="str">
        <x:v>D — Transcript &amp; Knowledge</x:v>
      </x:c>
      <x:c r="C72" s="30" t="str">
        <x:v>D3 — AI data preparation</x:v>
      </x:c>
      <x:c r="D72" s="30" t="str">
        <x:v>Vector index</x:v>
      </x:c>
      <x:c r="E72" s="31" t="n">
        <x:v>46354</x:v>
      </x:c>
      <x:c r="F72" s="31" t="n">
        <x:v>46355</x:v>
      </x:c>
      <x:c r="G72" s="32" t="n">
        <x:f>F72-E72+1</x:f>
        <x:v>2</x:v>
      </x:c>
      <x:c r="H72" s="30" t="str">
        <x:v>Tạo và kiểm tra chỉ mục vector trên pgvector theo kiến trúc</x:v>
      </x:c>
      <x:c r="I72" s="30" t="str">
        <x:v>Backend</x:v>
      </x:c>
      <x:c r="J72" s="30" t="str">
        <x:v>Vector retrieval có nền tảng index hoạt động</x:v>
      </x:c>
      <x:c r="K72" s="30" t="str">
        <x:v>09 §7.3; 11 §7.2</x:v>
      </x:c>
      <x:c r="L72" s="30" t="str">
        <x:v>Không có phụ thuộc FE</x:v>
      </x:c>
      <x:c r="M72" s="30" t="str"/>
      <x:c r="N72" s="30" t="str">
        <x:v>D3.02</x:v>
      </x:c>
      <x:c r="O72" s="32" t="str">
        <x:v>P0</x:v>
      </x:c>
      <x:c r="P72" s="32" t="str">
        <x:v>Backend</x:v>
      </x:c>
      <x:c r="Q72" s="32" t="str">
        <x:v>Not Started</x:v>
      </x:c>
      <x:c r="R72" s="32" t="str">
        <x:f>"W"&amp;INT((E72-DATE(2026,10,5))/7)+1</x:f>
        <x:v>W8</x:v>
      </x:c>
      <x:c r="S72" s="30" t="str">
        <x:v>D — Transcript &amp; Knowledge &gt; D3 — AI data preparation &gt; Vector index</x:v>
      </x:c>
      <x:c r="T72" s="30" t="str">
        <x:v>List = Macro Phase; Card = Work Package; Checklist = Task</x:v>
      </x:c>
    </x:row>
    <x:row r="73" ht="42" customHeight="1">
      <x:c r="A73" s="30" t="str">
        <x:v>D3.04</x:v>
      </x:c>
      <x:c r="B73" s="30" t="str">
        <x:v>D — Transcript &amp; Knowledge</x:v>
      </x:c>
      <x:c r="C73" s="30" t="str">
        <x:v>D3 — AI data preparation</x:v>
      </x:c>
      <x:c r="D73" s="30" t="str">
        <x:v>Reindex/version smoke</x:v>
      </x:c>
      <x:c r="E73" s="31" t="n">
        <x:v>46356</x:v>
      </x:c>
      <x:c r="F73" s="31" t="n">
        <x:v>46356</x:v>
      </x:c>
      <x:c r="G73" s="32" t="n">
        <x:f>F73-E73+1</x:f>
        <x:v>1</x:v>
      </x:c>
      <x:c r="H73" s="30" t="str">
        <x:v>Kiểm tra reindex từ transcript version mới và đảm bảo thế hệ cũ chỉ được giữ đến khi bản mới sẵn sàng</x:v>
      </x:c>
      <x:c r="I73" s="30" t="str">
        <x:v>Verify</x:v>
      </x:c>
      <x:c r="J73" s="30" t="str">
        <x:v>Pipeline index/version hoạt động an toàn trước khi làm RAG</x:v>
      </x:c>
      <x:c r="K73" s="30" t="str">
        <x:v>09 §7.4, §9.1; 11 §11.2</x:v>
      </x:c>
      <x:c r="L73" s="30" t="str">
        <x:v>Không có FE checkpoint</x:v>
      </x:c>
      <x:c r="M73" s="30" t="str">
        <x:v>★ M9 — Knowledge base ready</x:v>
      </x:c>
      <x:c r="N73" s="30" t="str">
        <x:v>D3.03; D2.03</x:v>
      </x:c>
      <x:c r="O73" s="32" t="str">
        <x:v>P0</x:v>
      </x:c>
      <x:c r="P73" s="32" t="str">
        <x:v>Backend</x:v>
      </x:c>
      <x:c r="Q73" s="32" t="str">
        <x:v>Not Started</x:v>
      </x:c>
      <x:c r="R73" s="32" t="str">
        <x:f>"W"&amp;INT((E73-DATE(2026,10,5))/7)+1</x:f>
        <x:v>W9</x:v>
      </x:c>
      <x:c r="S73" s="30" t="str">
        <x:v>D — Transcript &amp; Knowledge &gt; D3 — AI data preparation &gt; Reindex/version smoke</x:v>
      </x:c>
      <x:c r="T73" s="30" t="str">
        <x:v>List = Macro Phase; Card = Work Package; Checklist = Task</x:v>
      </x:c>
    </x:row>
    <x:row r="74" ht="42" customHeight="1">
      <x:c r="A74" s="24" t="str">
        <x:v>E1.01</x:v>
      </x:c>
      <x:c r="B74" s="24" t="str">
        <x:v>E — AI Assistant</x:v>
      </x:c>
      <x:c r="C74" s="24" t="str">
        <x:v>E1 — Retrieval</x:v>
      </x:c>
      <x:c r="D74" s="24" t="str">
        <x:v>Question embedding &amp; candidate retrieval</x:v>
      </x:c>
      <x:c r="E74" s="25" t="n">
        <x:v>46357</x:v>
      </x:c>
      <x:c r="F74" s="25" t="n">
        <x:v>46358</x:v>
      </x:c>
      <x:c r="G74" s="26" t="n">
        <x:f>F74-E74+1</x:f>
        <x:v>2</x:v>
      </x:c>
      <x:c r="H74" s="24" t="str">
        <x:v>Hoàn thành embedding câu hỏi và truy xuất ứng viên trong phạm vi bài giảng</x:v>
      </x:c>
      <x:c r="I74" s="24" t="str">
        <x:v>Backend</x:v>
      </x:c>
      <x:c r="J74" s="24" t="str">
        <x:v>Câu hỏi có thể tìm các chunk liên quan trong đúng lesson</x:v>
      </x:c>
      <x:c r="K74" s="24" t="str">
        <x:v>11 §8.1</x:v>
      </x:c>
      <x:c r="L74" s="24" t="str">
        <x:v>FE có thể chuẩn bị AI chat UI</x:v>
      </x:c>
      <x:c r="M74" s="24" t="str"/>
      <x:c r="N74" s="24" t="str">
        <x:v>D3.04</x:v>
      </x:c>
      <x:c r="O74" s="26" t="str">
        <x:v>P0</x:v>
      </x:c>
      <x:c r="P74" s="26" t="str">
        <x:v>Backend</x:v>
      </x:c>
      <x:c r="Q74" s="26" t="str">
        <x:v>Not Started</x:v>
      </x:c>
      <x:c r="R74" s="26" t="str">
        <x:f>"W"&amp;INT((E74-DATE(2026,10,5))/7)+1</x:f>
        <x:v>W9</x:v>
      </x:c>
      <x:c r="S74" s="24" t="str">
        <x:v>E — AI Assistant &gt; E1 — Retrieval &gt; Question embedding &amp; candidate retrieval</x:v>
      </x:c>
      <x:c r="T74" s="24" t="str">
        <x:v>List = Macro Phase; Card = Work Package; Checklist = Task</x:v>
      </x:c>
    </x:row>
    <x:row r="75" ht="42" customHeight="1">
      <x:c r="A75" s="24" t="str">
        <x:v>E1.02</x:v>
      </x:c>
      <x:c r="B75" s="24" t="str">
        <x:v>E — AI Assistant</x:v>
      </x:c>
      <x:c r="C75" s="24" t="str">
        <x:v>E1 — Retrieval</x:v>
      </x:c>
      <x:c r="D75" s="24" t="str">
        <x:v>Top-K, threshold, temporal weighting</x:v>
      </x:c>
      <x:c r="E75" s="25" t="n">
        <x:v>46358</x:v>
      </x:c>
      <x:c r="F75" s="25" t="n">
        <x:v>46359</x:v>
      </x:c>
      <x:c r="G75" s="26" t="n">
        <x:f>F75-E75+1</x:f>
        <x:v>2</x:v>
      </x:c>
      <x:c r="H75" s="24" t="str">
        <x:v>Hoàn thành Top-K, ngưỡng tương đồng và tăng trọng theo mốc thời gian theo spec</x:v>
      </x:c>
      <x:c r="I75" s="24" t="str">
        <x:v>Backend</x:v>
      </x:c>
      <x:c r="J75" s="24" t="str">
        <x:v>Retrieval trả tập context có kiểm soát và đúng ngưỡng</x:v>
      </x:c>
      <x:c r="K75" s="24" t="str">
        <x:v>11 §8.2</x:v>
      </x:c>
      <x:c r="L75" s="24" t="str">
        <x:v>FE chỉ cần test đầu ra sau staging</x:v>
      </x:c>
      <x:c r="M75" s="24" t="str"/>
      <x:c r="N75" s="24" t="str">
        <x:v>E1.01</x:v>
      </x:c>
      <x:c r="O75" s="26" t="str">
        <x:v>P0</x:v>
      </x:c>
      <x:c r="P75" s="26" t="str">
        <x:v>Backend</x:v>
      </x:c>
      <x:c r="Q75" s="26" t="str">
        <x:v>Not Started</x:v>
      </x:c>
      <x:c r="R75" s="26" t="str">
        <x:f>"W"&amp;INT((E75-DATE(2026,10,5))/7)+1</x:f>
        <x:v>W9</x:v>
      </x:c>
      <x:c r="S75" s="24" t="str">
        <x:v>E — AI Assistant &gt; E1 — Retrieval &gt; Top-K, threshold, temporal weighting</x:v>
      </x:c>
      <x:c r="T75" s="24" t="str">
        <x:v>List = Macro Phase; Card = Work Package; Checklist = Task</x:v>
      </x:c>
    </x:row>
    <x:row r="76" ht="42" customHeight="1">
      <x:c r="A76" s="24" t="str">
        <x:v>E1.03</x:v>
      </x:c>
      <x:c r="B76" s="24" t="str">
        <x:v>E — AI Assistant</x:v>
      </x:c>
      <x:c r="C76" s="24" t="str">
        <x:v>E1 — Retrieval</x:v>
      </x:c>
      <x:c r="D76" s="24" t="str">
        <x:v>No-match behavior</x:v>
      </x:c>
      <x:c r="E76" s="25" t="n">
        <x:v>46359</x:v>
      </x:c>
      <x:c r="F76" s="25" t="n">
        <x:v>46359</x:v>
      </x:c>
      <x:c r="G76" s="26" t="n">
        <x:f>F76-E76+1</x:f>
        <x:v>1</x:v>
      </x:c>
      <x:c r="H76" s="24" t="str">
        <x:v>Hoàn thành hành vi khi không có ứng viên đạt ngưỡng và đảm bảo không trả context ngoài phạm vi</x:v>
      </x:c>
      <x:c r="I76" s="24" t="str">
        <x:v>Backend</x:v>
      </x:c>
      <x:c r="J76" s="24" t="str">
        <x:v>AI không bịa context khi không có bằng chứng phù hợp</x:v>
      </x:c>
      <x:c r="K76" s="24" t="str">
        <x:v>11 §8.3</x:v>
      </x:c>
      <x:c r="L76" s="24" t="str">
        <x:v>FE test no-answer/out-of-scope cases</x:v>
      </x:c>
      <x:c r="M76" s="24" t="str"/>
      <x:c r="N76" s="24" t="str">
        <x:v>E1.02</x:v>
      </x:c>
      <x:c r="O76" s="26" t="str">
        <x:v>P0</x:v>
      </x:c>
      <x:c r="P76" s="26" t="str">
        <x:v>Backend</x:v>
      </x:c>
      <x:c r="Q76" s="26" t="str">
        <x:v>Not Started</x:v>
      </x:c>
      <x:c r="R76" s="26" t="str">
        <x:f>"W"&amp;INT((E76-DATE(2026,10,5))/7)+1</x:f>
        <x:v>W9</x:v>
      </x:c>
      <x:c r="S76" s="24" t="str">
        <x:v>E — AI Assistant &gt; E1 — Retrieval &gt; No-match behavior</x:v>
      </x:c>
      <x:c r="T76" s="24" t="str">
        <x:v>List = Macro Phase; Card = Work Package; Checklist = Task</x:v>
      </x:c>
    </x:row>
    <x:row r="77" ht="42" customHeight="1">
      <x:c r="A77" s="24" t="str">
        <x:v>E2.01</x:v>
      </x:c>
      <x:c r="B77" s="24" t="str">
        <x:v>E — AI Assistant</x:v>
      </x:c>
      <x:c r="C77" s="24" t="str">
        <x:v>E2 — RAG &amp; LLM</x:v>
      </x:c>
      <x:c r="D77" s="24" t="str">
        <x:v>RAG prompt and scope control</x:v>
      </x:c>
      <x:c r="E77" s="25" t="n">
        <x:v>46360</x:v>
      </x:c>
      <x:c r="F77" s="25" t="n">
        <x:v>46360</x:v>
      </x:c>
      <x:c r="G77" s="26" t="n">
        <x:f>F77-E77+1</x:f>
        <x:v>1</x:v>
      </x:c>
      <x:c r="H77" s="24" t="str">
        <x:v>Hoàn thành luồng RAG và prompt kiểm soát phạm vi bài giảng</x:v>
      </x:c>
      <x:c r="I77" s="24" t="str">
        <x:v>Backend</x:v>
      </x:c>
      <x:c r="J77" s="24" t="str">
        <x:v>LLM nhận đúng context và quy tắc phạm vi</x:v>
      </x:c>
      <x:c r="K77" s="24" t="str">
        <x:v>11 §9.1–9.2</x:v>
      </x:c>
      <x:c r="L77" s="24" t="str">
        <x:v>FE chưa cần test</x:v>
      </x:c>
      <x:c r="M77" s="24" t="str"/>
      <x:c r="N77" s="24" t="str">
        <x:v>E1.03</x:v>
      </x:c>
      <x:c r="O77" s="26" t="str">
        <x:v>P0</x:v>
      </x:c>
      <x:c r="P77" s="26" t="str">
        <x:v>Backend</x:v>
      </x:c>
      <x:c r="Q77" s="26" t="str">
        <x:v>Not Started</x:v>
      </x:c>
      <x:c r="R77" s="26" t="str">
        <x:f>"W"&amp;INT((E77-DATE(2026,10,5))/7)+1</x:f>
        <x:v>W9</x:v>
      </x:c>
      <x:c r="S77" s="24" t="str">
        <x:v>E — AI Assistant &gt; E2 — RAG &amp; LLM &gt; RAG prompt and scope control</x:v>
      </x:c>
      <x:c r="T77" s="24" t="str">
        <x:v>List = Macro Phase; Card = Work Package; Checklist = Task</x:v>
      </x:c>
    </x:row>
    <x:row r="78" ht="42" customHeight="1">
      <x:c r="A78" s="24" t="str">
        <x:v>E2.02</x:v>
      </x:c>
      <x:c r="B78" s="24" t="str">
        <x:v>E — AI Assistant</x:v>
      </x:c>
      <x:c r="C78" s="24" t="str">
        <x:v>E2 — RAG &amp; LLM</x:v>
      </x:c>
      <x:c r="D78" s="24" t="str">
        <x:v>LLM integration</x:v>
      </x:c>
      <x:c r="E78" s="25" t="n">
        <x:v>46360</x:v>
      </x:c>
      <x:c r="F78" s="25" t="n">
        <x:v>46361</x:v>
      </x:c>
      <x:c r="G78" s="26" t="n">
        <x:f>F78-E78+1</x:f>
        <x:v>2</x:v>
      </x:c>
      <x:c r="H78" s="24" t="str">
        <x:v>Kết nối mô hình ngôn ngữ chính và fallback theo stack đã chốt; kiểm tra timeout/lỗi provider</x:v>
      </x:c>
      <x:c r="I78" s="24" t="str">
        <x:v>Backend</x:v>
      </x:c>
      <x:c r="J78" s="24" t="str">
        <x:v>Có câu trả lời từ provider chính và fallback khi cần</x:v>
      </x:c>
      <x:c r="K78" s="24" t="str">
        <x:v>10 §3.4, §8.4; 11 §9.2</x:v>
      </x:c>
      <x:c r="L78" s="24" t="str">
        <x:v>FE có thể test loading/error sau handover</x:v>
      </x:c>
      <x:c r="M78" s="24" t="str"/>
      <x:c r="N78" s="24" t="str">
        <x:v>A3.02; E2.01</x:v>
      </x:c>
      <x:c r="O78" s="26" t="str">
        <x:v>P0</x:v>
      </x:c>
      <x:c r="P78" s="26" t="str">
        <x:v>Backend</x:v>
      </x:c>
      <x:c r="Q78" s="26" t="str">
        <x:v>Not Started</x:v>
      </x:c>
      <x:c r="R78" s="26" t="str">
        <x:f>"W"&amp;INT((E78-DATE(2026,10,5))/7)+1</x:f>
        <x:v>W9</x:v>
      </x:c>
      <x:c r="S78" s="24" t="str">
        <x:v>E — AI Assistant &gt; E2 — RAG &amp; LLM &gt; LLM integration</x:v>
      </x:c>
      <x:c r="T78" s="24" t="str">
        <x:v>List = Macro Phase; Card = Work Package; Checklist = Task</x:v>
      </x:c>
    </x:row>
    <x:row r="79" ht="42" customHeight="1">
      <x:c r="A79" s="24" t="str">
        <x:v>E2.03</x:v>
      </x:c>
      <x:c r="B79" s="24" t="str">
        <x:v>E — AI Assistant</x:v>
      </x:c>
      <x:c r="C79" s="24" t="str">
        <x:v>E2 — RAG &amp; LLM</x:v>
      </x:c>
      <x:c r="D79" s="24" t="str">
        <x:v>Citation &amp; timestamp response</x:v>
      </x:c>
      <x:c r="E79" s="25" t="n">
        <x:v>46361</x:v>
      </x:c>
      <x:c r="F79" s="25" t="n">
        <x:v>46361</x:v>
      </x:c>
      <x:c r="G79" s="26" t="n">
        <x:f>F79-E79+1</x:f>
        <x:v>1</x:v>
      </x:c>
      <x:c r="H79" s="24" t="str">
        <x:v>Hoàn thiện trả lời kèm nguồn trích dẫn và mốc thời gian từ chunk/transcript</x:v>
      </x:c>
      <x:c r="I79" s="24" t="str">
        <x:v>Backend</x:v>
      </x:c>
      <x:c r="J79" s="24" t="str">
        <x:v>FE có thể hiển thị source và nhảy tới timestamp</x:v>
      </x:c>
      <x:c r="K79" s="24" t="str">
        <x:v>08 §4.1; 11 §10.1</x:v>
      </x:c>
      <x:c r="L79" s="24" t="str">
        <x:v>FE test citation/timestamp</x:v>
      </x:c>
      <x:c r="M79" s="24" t="str"/>
      <x:c r="N79" s="24" t="str">
        <x:v>E2.02</x:v>
      </x:c>
      <x:c r="O79" s="26" t="str">
        <x:v>P0</x:v>
      </x:c>
      <x:c r="P79" s="26" t="str">
        <x:v>Backend</x:v>
      </x:c>
      <x:c r="Q79" s="26" t="str">
        <x:v>Not Started</x:v>
      </x:c>
      <x:c r="R79" s="26" t="str">
        <x:f>"W"&amp;INT((E79-DATE(2026,10,5))/7)+1</x:f>
        <x:v>W9</x:v>
      </x:c>
      <x:c r="S79" s="24" t="str">
        <x:v>E — AI Assistant &gt; E2 — RAG &amp; LLM &gt; Citation &amp; timestamp response</x:v>
      </x:c>
      <x:c r="T79" s="24" t="str">
        <x:v>List = Macro Phase; Card = Work Package; Checklist = Task</x:v>
      </x:c>
    </x:row>
    <x:row r="80" ht="42" customHeight="1">
      <x:c r="A80" s="24" t="str">
        <x:v>E2.04</x:v>
      </x:c>
      <x:c r="B80" s="24" t="str">
        <x:v>E — AI Assistant</x:v>
      </x:c>
      <x:c r="C80" s="24" t="str">
        <x:v>E2 — RAG &amp; LLM</x:v>
      </x:c>
      <x:c r="D80" s="24" t="str">
        <x:v>Scope/quota/error behavior</x:v>
      </x:c>
      <x:c r="E80" s="25" t="n">
        <x:v>46362</x:v>
      </x:c>
      <x:c r="F80" s="25" t="n">
        <x:v>46362</x:v>
      </x:c>
      <x:c r="G80" s="26" t="n">
        <x:f>F80-E80+1</x:f>
        <x:v>1</x:v>
      </x:c>
      <x:c r="H80" s="24" t="str">
        <x:v>Hoàn thiện kiểm soát phạm vi, quota AI, lỗi provider và response lỗi theo contract</x:v>
      </x:c>
      <x:c r="I80" s="24" t="str">
        <x:v>Backend</x:v>
      </x:c>
      <x:c r="J80" s="24" t="str">
        <x:v>Các trường hợp out-of-scope/quota/provider lỗi được xử lý đúng</x:v>
      </x:c>
      <x:c r="K80" s="24" t="str">
        <x:v>08 §4.1 + error codes; 11 §9.2</x:v>
      </x:c>
      <x:c r="L80" s="24" t="str">
        <x:v>FE test error/limit behavior</x:v>
      </x:c>
      <x:c r="M80" s="24" t="str"/>
      <x:c r="N80" s="24" t="str">
        <x:v>E2.02; E2.03</x:v>
      </x:c>
      <x:c r="O80" s="26" t="str">
        <x:v>P0</x:v>
      </x:c>
      <x:c r="P80" s="26" t="str">
        <x:v>Backend</x:v>
      </x:c>
      <x:c r="Q80" s="26" t="str">
        <x:v>Not Started</x:v>
      </x:c>
      <x:c r="R80" s="26" t="str">
        <x:f>"W"&amp;INT((E80-DATE(2026,10,5))/7)+1</x:f>
        <x:v>W9</x:v>
      </x:c>
      <x:c r="S80" s="24" t="str">
        <x:v>E — AI Assistant &gt; E2 — RAG &amp; LLM &gt; Scope/quota/error behavior</x:v>
      </x:c>
      <x:c r="T80" s="24" t="str">
        <x:v>List = Macro Phase; Card = Work Package; Checklist = Task</x:v>
      </x:c>
    </x:row>
    <x:row r="81" ht="42" customHeight="1">
      <x:c r="A81" s="24" t="str">
        <x:v>E3.01</x:v>
      </x:c>
      <x:c r="B81" s="24" t="str">
        <x:v>E — AI Assistant</x:v>
      </x:c>
      <x:c r="C81" s="24" t="str">
        <x:v>E3 — AI Q&amp;A &amp; chat</x:v>
      </x:c>
      <x:c r="D81" s="24" t="str">
        <x:v>Ask AI API</x:v>
      </x:c>
      <x:c r="E81" s="25" t="n">
        <x:v>46362</x:v>
      </x:c>
      <x:c r="F81" s="25" t="n">
        <x:v>46363</x:v>
      </x:c>
      <x:c r="G81" s="26" t="n">
        <x:f>F81-E81+1</x:f>
        <x:v>2</x:v>
      </x:c>
      <x:c r="H81" s="24" t="str">
        <x:v>Hoàn thành API hỏi đáp theo lesson, có kiểm tra enrollment/video status/question length/quota</x:v>
      </x:c>
      <x:c r="I81" s="24" t="str">
        <x:v>Backend</x:v>
      </x:c>
      <x:c r="J81" s="24" t="str">
        <x:v>Học viên hỏi AI theo ngữ cảnh bài giảng được</x:v>
      </x:c>
      <x:c r="K81" s="24" t="str">
        <x:v>08 4.1; 10 §7.2</x:v>
      </x:c>
      <x:c r="L81" s="24" t="str">
        <x:v>FE integration ngay sau staging</x:v>
      </x:c>
      <x:c r="M81" s="24" t="str"/>
      <x:c r="N81" s="24" t="str">
        <x:v>E2.04</x:v>
      </x:c>
      <x:c r="O81" s="26" t="str">
        <x:v>P0</x:v>
      </x:c>
      <x:c r="P81" s="26" t="str">
        <x:v>Backend</x:v>
      </x:c>
      <x:c r="Q81" s="26" t="str">
        <x:v>Not Started</x:v>
      </x:c>
      <x:c r="R81" s="26" t="str">
        <x:f>"W"&amp;INT((E81-DATE(2026,10,5))/7)+1</x:f>
        <x:v>W9</x:v>
      </x:c>
      <x:c r="S81" s="24" t="str">
        <x:v>E — AI Assistant &gt; E3 — AI Q&amp;A &amp; chat &gt; Ask AI API</x:v>
      </x:c>
      <x:c r="T81" s="24" t="str">
        <x:v>List = Macro Phase; Card = Work Package; Checklist = Task</x:v>
      </x:c>
    </x:row>
    <x:row r="82" ht="42" customHeight="1">
      <x:c r="A82" s="24" t="str">
        <x:v>E3.02</x:v>
      </x:c>
      <x:c r="B82" s="24" t="str">
        <x:v>E — AI Assistant</x:v>
      </x:c>
      <x:c r="C82" s="24" t="str">
        <x:v>E3 — AI Q&amp;A &amp; chat</x:v>
      </x:c>
      <x:c r="D82" s="24" t="str">
        <x:v>Chat history &amp; suggested questions</x:v>
      </x:c>
      <x:c r="E82" s="25" t="n">
        <x:v>46363</x:v>
      </x:c>
      <x:c r="F82" s="25" t="n">
        <x:v>46363</x:v>
      </x:c>
      <x:c r="G82" s="26" t="n">
        <x:f>F82-E82+1</x:f>
        <x:v>1</x:v>
      </x:c>
      <x:c r="H82" s="24" t="str">
        <x:v>Hoàn thành lịch sử chat và câu hỏi gợi ý</x:v>
      </x:c>
      <x:c r="I82" s="24" t="str">
        <x:v>Backend</x:v>
      </x:c>
      <x:c r="J82" s="24" t="str">
        <x:v>FE có thể hiển thị chat history và suggested questions</x:v>
      </x:c>
      <x:c r="K82" s="24" t="str">
        <x:v>08 4.2–4.3; 09 ai_qa_logs</x:v>
      </x:c>
      <x:c r="L82" s="24" t="str">
        <x:v>FE test chat flow</x:v>
      </x:c>
      <x:c r="M82" s="24" t="str"/>
      <x:c r="N82" s="24" t="str">
        <x:v>E3.01</x:v>
      </x:c>
      <x:c r="O82" s="26" t="str">
        <x:v>P1</x:v>
      </x:c>
      <x:c r="P82" s="26" t="str">
        <x:v>Backend</x:v>
      </x:c>
      <x:c r="Q82" s="26" t="str">
        <x:v>Not Started</x:v>
      </x:c>
      <x:c r="R82" s="26" t="str">
        <x:f>"W"&amp;INT((E82-DATE(2026,10,5))/7)+1</x:f>
        <x:v>W10</x:v>
      </x:c>
      <x:c r="S82" s="24" t="str">
        <x:v>E — AI Assistant &gt; E3 — AI Q&amp;A &amp; chat &gt; Chat history &amp; suggested questions</x:v>
      </x:c>
      <x:c r="T82" s="24" t="str">
        <x:v>List = Macro Phase; Card = Work Package; Checklist = Task</x:v>
      </x:c>
    </x:row>
    <x:row r="83" ht="42" customHeight="1">
      <x:c r="A83" s="24" t="str">
        <x:v>E3.03</x:v>
      </x:c>
      <x:c r="B83" s="24" t="str">
        <x:v>E — AI Assistant</x:v>
      </x:c>
      <x:c r="C83" s="24" t="str">
        <x:v>E3 — AI Q&amp;A &amp; chat</x:v>
      </x:c>
      <x:c r="D83" s="24" t="str">
        <x:v>AI feedback</x:v>
      </x:c>
      <x:c r="E83" s="25" t="n">
        <x:v>46363</x:v>
      </x:c>
      <x:c r="F83" s="25" t="n">
        <x:v>46363</x:v>
      </x:c>
      <x:c r="G83" s="26" t="n">
        <x:f>F83-E83+1</x:f>
        <x:v>1</x:v>
      </x:c>
      <x:c r="H83" s="24" t="str">
        <x:v>Hoàn thành feedback 👍/👎 cho câu trả lời AI và lưu log</x:v>
      </x:c>
      <x:c r="I83" s="24" t="str">
        <x:v>Backend</x:v>
      </x:c>
      <x:c r="J83" s="24" t="str">
        <x:v>Feedback được ghi nhận cho từng AI message</x:v>
      </x:c>
      <x:c r="K83" s="24" t="str">
        <x:v>08 4.4; 09 ai_qa_logs</x:v>
      </x:c>
      <x:c r="L83" s="24" t="str">
        <x:v>FE test feedback</x:v>
      </x:c>
      <x:c r="M83" s="24" t="str"/>
      <x:c r="N83" s="24" t="str">
        <x:v>E3.01</x:v>
      </x:c>
      <x:c r="O83" s="26" t="str">
        <x:v>P1</x:v>
      </x:c>
      <x:c r="P83" s="26" t="str">
        <x:v>Backend</x:v>
      </x:c>
      <x:c r="Q83" s="26" t="str">
        <x:v>Not Started</x:v>
      </x:c>
      <x:c r="R83" s="26" t="str">
        <x:f>"W"&amp;INT((E83-DATE(2026,10,5))/7)+1</x:f>
        <x:v>W10</x:v>
      </x:c>
      <x:c r="S83" s="24" t="str">
        <x:v>E — AI Assistant &gt; E3 — AI Q&amp;A &amp; chat &gt; AI feedback</x:v>
      </x:c>
      <x:c r="T83" s="24" t="str">
        <x:v>List = Macro Phase; Card = Work Package; Checklist = Task</x:v>
      </x:c>
    </x:row>
    <x:row r="84" ht="42" customHeight="1">
      <x:c r="A84" s="24" t="str">
        <x:v>E3.04</x:v>
      </x:c>
      <x:c r="B84" s="24" t="str">
        <x:v>E — AI Assistant</x:v>
      </x:c>
      <x:c r="C84" s="24" t="str">
        <x:v>E3 — AI Q&amp;A &amp; chat</x:v>
      </x:c>
      <x:c r="D84" s="24" t="str">
        <x:v>AI staging handover</x:v>
      </x:c>
      <x:c r="E84" s="25" t="n">
        <x:v>46364</x:v>
      </x:c>
      <x:c r="F84" s="25" t="n">
        <x:v>46364</x:v>
      </x:c>
      <x:c r="G84" s="26" t="n">
        <x:f>F84-E84+1</x:f>
        <x:v>1</x:v>
      </x:c>
      <x:c r="H84" s="24" t="str">
        <x:v>Deploy AI Q&amp;A lên staging và cung cấp bộ câu hỏi mẫu để FE kiểm thử</x:v>
      </x:c>
      <x:c r="I84" s="24" t="str">
        <x:v>Deploy</x:v>
      </x:c>
      <x:c r="J84" s="24" t="str">
        <x:v>AI Q&amp;A end-to-end chạy trên video thật</x:v>
      </x:c>
      <x:c r="K84" s="24" t="str">
        <x:v>08 §4; 11 §8–10</x:v>
      </x:c>
      <x:c r="L84" s="24" t="str">
        <x:v>FE integration/test window: 08–09/12</x:v>
      </x:c>
      <x:c r="M84" s="24" t="str"/>
      <x:c r="N84" s="24" t="str">
        <x:v>E3.01; E3.02; E3.03</x:v>
      </x:c>
      <x:c r="O84" s="26" t="str">
        <x:v>P0</x:v>
      </x:c>
      <x:c r="P84" s="26" t="str">
        <x:v>Backend</x:v>
      </x:c>
      <x:c r="Q84" s="26" t="str">
        <x:v>Not Started</x:v>
      </x:c>
      <x:c r="R84" s="26" t="str">
        <x:f>"W"&amp;INT((E84-DATE(2026,10,5))/7)+1</x:f>
        <x:v>W10</x:v>
      </x:c>
      <x:c r="S84" s="24" t="str">
        <x:v>E — AI Assistant &gt; E3 — AI Q&amp;A &amp; chat &gt; AI staging handover</x:v>
      </x:c>
      <x:c r="T84" s="24" t="str">
        <x:v>List = Macro Phase; Card = Work Package; Checklist = Task</x:v>
      </x:c>
    </x:row>
    <x:row r="85" ht="42" customHeight="1">
      <x:c r="A85" s="24" t="str">
        <x:v>E3.05</x:v>
      </x:c>
      <x:c r="B85" s="24" t="str">
        <x:v>E — AI Assistant</x:v>
      </x:c>
      <x:c r="C85" s="24" t="str">
        <x:v>E3 — AI Q&amp;A &amp; chat</x:v>
      </x:c>
      <x:c r="D85" s="24" t="str">
        <x:v>AI Q&amp;A fix &amp; close</x:v>
      </x:c>
      <x:c r="E85" s="25" t="n">
        <x:v>46365</x:v>
      </x:c>
      <x:c r="F85" s="25" t="n">
        <x:v>46365</x:v>
      </x:c>
      <x:c r="G85" s="26" t="n">
        <x:f>F85-E85+1</x:f>
        <x:v>1</x:v>
      </x:c>
      <x:c r="H85" s="24" t="str">
        <x:v>Sửa lỗi FE integration, citation, out-of-scope, timeout và quota; chốt Q&amp;A</x:v>
      </x:c>
      <x:c r="I85" s="24" t="str">
        <x:v>Verify</x:v>
      </x:c>
      <x:c r="J85" s="24" t="str">
        <x:v>FE PASS cho AI Q&amp;A</x:v>
      </x:c>
      <x:c r="K85" s="24" t="str">
        <x:v>08 §4; 11 §9–10</x:v>
      </x:c>
      <x:c r="L85" s="24" t="str">
        <x:v>FE PASS</x:v>
      </x:c>
      <x:c r="M85" s="24" t="str">
        <x:v>★ M10 — AI Q&amp;A ready</x:v>
      </x:c>
      <x:c r="N85" s="24" t="str">
        <x:v>E3.04</x:v>
      </x:c>
      <x:c r="O85" s="26" t="str">
        <x:v>P0</x:v>
      </x:c>
      <x:c r="P85" s="26" t="str">
        <x:v>Backend</x:v>
      </x:c>
      <x:c r="Q85" s="26" t="str">
        <x:v>Not Started</x:v>
      </x:c>
      <x:c r="R85" s="26" t="str">
        <x:f>"W"&amp;INT((E85-DATE(2026,10,5))/7)+1</x:f>
        <x:v>W10</x:v>
      </x:c>
      <x:c r="S85" s="24" t="str">
        <x:v>E — AI Assistant &gt; E3 — AI Q&amp;A &amp; chat &gt; AI Q&amp;A fix &amp; close</x:v>
      </x:c>
      <x:c r="T85" s="24" t="str">
        <x:v>List = Macro Phase; Card = Work Package; Checklist = Task</x:v>
      </x:c>
    </x:row>
    <x:row r="86" ht="42" customHeight="1">
      <x:c r="A86" s="24" t="str">
        <x:v>E4.01</x:v>
      </x:c>
      <x:c r="B86" s="24" t="str">
        <x:v>E — AI Assistant</x:v>
      </x:c>
      <x:c r="C86" s="24" t="str">
        <x:v>E4 — Summary</x:v>
      </x:c>
      <x:c r="D86" s="24" t="str">
        <x:v>AI summary</x:v>
      </x:c>
      <x:c r="E86" s="25" t="n">
        <x:v>46365</x:v>
      </x:c>
      <x:c r="F86" s="25" t="n">
        <x:v>46366</x:v>
      </x:c>
      <x:c r="G86" s="26" t="n">
        <x:f>F86-E86+1</x:f>
        <x:v>2</x:v>
      </x:c>
      <x:c r="H86" s="24" t="str">
        <x:v>Hoàn thành tóm tắt bài giảng theo phạm vi đã chốt và lưu cache theo transcript version</x:v>
      </x:c>
      <x:c r="I86" s="24" t="str">
        <x:v>Backend</x:v>
      </x:c>
      <x:c r="J86" s="24" t="str">
        <x:v>Học viên có thể yêu cầu và nhận summary ổn định</x:v>
      </x:c>
      <x:c r="K86" s="24" t="str">
        <x:v>08 §5; 09 ai_summaries; 11 §10.2</x:v>
      </x:c>
      <x:c r="L86" s="24" t="str">
        <x:v>FE test summary</x:v>
      </x:c>
      <x:c r="M86" s="24" t="str"/>
      <x:c r="N86" s="24" t="str">
        <x:v>D2.05; A3.02</x:v>
      </x:c>
      <x:c r="O86" s="26" t="str">
        <x:v>P1</x:v>
      </x:c>
      <x:c r="P86" s="26" t="str">
        <x:v>Backend</x:v>
      </x:c>
      <x:c r="Q86" s="26" t="str">
        <x:v>Not Started</x:v>
      </x:c>
      <x:c r="R86" s="26" t="str">
        <x:f>"W"&amp;INT((E86-DATE(2026,10,5))/7)+1</x:f>
        <x:v>W10</x:v>
      </x:c>
      <x:c r="S86" s="24" t="str">
        <x:v>E — AI Assistant &gt; E4 — Summary &gt; AI summary</x:v>
      </x:c>
      <x:c r="T86" s="24" t="str">
        <x:v>List = Macro Phase; Card = Work Package; Checklist = Task</x:v>
      </x:c>
    </x:row>
    <x:row r="87" ht="42" customHeight="1">
      <x:c r="A87" s="24" t="str">
        <x:v>E4.02</x:v>
      </x:c>
      <x:c r="B87" s="24" t="str">
        <x:v>E — AI Assistant</x:v>
      </x:c>
      <x:c r="C87" s="24" t="str">
        <x:v>E4 — Summary</x:v>
      </x:c>
      <x:c r="D87" s="24" t="str">
        <x:v>AI final handover</x:v>
      </x:c>
      <x:c r="E87" s="25" t="n">
        <x:v>46366</x:v>
      </x:c>
      <x:c r="F87" s="25" t="n">
        <x:v>46366</x:v>
      </x:c>
      <x:c r="G87" s="26" t="n">
        <x:f>F87-E87+1</x:f>
        <x:v>1</x:v>
      </x:c>
      <x:c r="H87" s="24" t="str">
        <x:v>Deploy Q&amp;A + Summary, cập nhật Swagger và chốt AI response contract</x:v>
      </x:c>
      <x:c r="I87" s="24" t="str">
        <x:v>Deploy</x:v>
      </x:c>
      <x:c r="J87" s="24" t="str">
        <x:v>AI group sẵn sàng tích hợp chính thức</x:v>
      </x:c>
      <x:c r="K87" s="24" t="str">
        <x:v>08 §4–5; 11 §10</x:v>
      </x:c>
      <x:c r="L87" s="24" t="str">
        <x:v>FE integration/test window</x:v>
      </x:c>
      <x:c r="M87" s="24" t="str">
        <x:v>★ M11 — AI assistant ready</x:v>
      </x:c>
      <x:c r="N87" s="24" t="str">
        <x:v>E4.01; E3.05</x:v>
      </x:c>
      <x:c r="O87" s="26" t="str">
        <x:v>P0</x:v>
      </x:c>
      <x:c r="P87" s="26" t="str">
        <x:v>Backend</x:v>
      </x:c>
      <x:c r="Q87" s="26" t="str">
        <x:v>Not Started</x:v>
      </x:c>
      <x:c r="R87" s="26" t="str">
        <x:f>"W"&amp;INT((E87-DATE(2026,10,5))/7)+1</x:f>
        <x:v>W10</x:v>
      </x:c>
      <x:c r="S87" s="24" t="str">
        <x:v>E — AI Assistant &gt; E4 — Summary &gt; AI final handover</x:v>
      </x:c>
      <x:c r="T87" s="24" t="str">
        <x:v>List = Macro Phase; Card = Work Package; Checklist = Task</x:v>
      </x:c>
    </x:row>
    <x:row r="88" ht="42" customHeight="1">
      <x:c r="A88" s="30" t="str">
        <x:v>F1.01</x:v>
      </x:c>
      <x:c r="B88" s="30" t="str">
        <x:v>F — Assessment &amp; Product Ops</x:v>
      </x:c>
      <x:c r="C88" s="30" t="str">
        <x:v>F1 — Question bank &amp; Exams</x:v>
      </x:c>
      <x:c r="D88" s="30" t="str">
        <x:v>Question bank</x:v>
      </x:c>
      <x:c r="E88" s="31" t="n">
        <x:v>46367</x:v>
      </x:c>
      <x:c r="F88" s="31" t="n">
        <x:v>46367</x:v>
      </x:c>
      <x:c r="G88" s="32" t="n">
        <x:f>F88-E88+1</x:f>
        <x:v>1</x:v>
      </x:c>
      <x:c r="H88" s="30" t="str">
        <x:v>Hoàn thành Admin quản lý ngân hàng câu hỏi và option; chuẩn bị bộ câu hỏi mẫu</x:v>
      </x:c>
      <x:c r="I88" s="30" t="str">
        <x:v>Backend/Data</x:v>
      </x:c>
      <x:c r="J88" s="30" t="str">
        <x:v>Có question bank đủ dữ liệu cho quiz/exercise</x:v>
      </x:c>
      <x:c r="K88" s="30" t="str">
        <x:v>08 6.5; 09 questions/question_options</x:v>
      </x:c>
      <x:c r="L88" s="30" t="str">
        <x:v>FE Admin test question bank</x:v>
      </x:c>
      <x:c r="M88" s="30" t="str"/>
      <x:c r="N88" s="30" t="str">
        <x:v>E4.02</x:v>
      </x:c>
      <x:c r="O88" s="32" t="str">
        <x:v>P0</x:v>
      </x:c>
      <x:c r="P88" s="32" t="str">
        <x:v>Backend</x:v>
      </x:c>
      <x:c r="Q88" s="32" t="str">
        <x:v>Not Started</x:v>
      </x:c>
      <x:c r="R88" s="32" t="str">
        <x:f>"W"&amp;INT((E88-DATE(2026,10,5))/7)+1</x:f>
        <x:v>W10</x:v>
      </x:c>
      <x:c r="S88" s="30" t="str">
        <x:v>F — Assessment &amp; Product Ops &gt; F1 — Question bank &amp; Exams &gt; Question bank</x:v>
      </x:c>
      <x:c r="T88" s="30" t="str">
        <x:v>List = Macro Phase; Card = Work Package; Checklist = Task</x:v>
      </x:c>
    </x:row>
    <x:row r="89" ht="42" customHeight="1">
      <x:c r="A89" s="30" t="str">
        <x:v>F1.02</x:v>
      </x:c>
      <x:c r="B89" s="30" t="str">
        <x:v>F — Assessment &amp; Product Ops</x:v>
      </x:c>
      <x:c r="C89" s="30" t="str">
        <x:v>F1 — Question bank &amp; Exams</x:v>
      </x:c>
      <x:c r="D89" s="30" t="str">
        <x:v>Exam management</x:v>
      </x:c>
      <x:c r="E89" s="31" t="n">
        <x:v>46368</x:v>
      </x:c>
      <x:c r="F89" s="31" t="n">
        <x:v>46368</x:v>
      </x:c>
      <x:c r="G89" s="32" t="n">
        <x:f>F89-E89+1</x:f>
        <x:v>1</x:v>
      </x:c>
      <x:c r="H89" s="30" t="str">
        <x:v>Hoàn thành tạo/sửa bộ đề và liên kết câu hỏi theo thứ tự/điểm</x:v>
      </x:c>
      <x:c r="I89" s="30" t="str">
        <x:v>Backend</x:v>
      </x:c>
      <x:c r="J89" s="30" t="str">
        <x:v>Admin tạo được quiz/exam hoàn chỉnh</x:v>
      </x:c>
      <x:c r="K89" s="30" t="str">
        <x:v>08 6.6; 09 exams/exam_questions</x:v>
      </x:c>
      <x:c r="L89" s="30" t="str">
        <x:v>FE Admin test exams</x:v>
      </x:c>
      <x:c r="M89" s="30" t="str"/>
      <x:c r="N89" s="30" t="str">
        <x:v>F1.01</x:v>
      </x:c>
      <x:c r="O89" s="32" t="str">
        <x:v>P0</x:v>
      </x:c>
      <x:c r="P89" s="32" t="str">
        <x:v>Backend</x:v>
      </x:c>
      <x:c r="Q89" s="32" t="str">
        <x:v>Not Started</x:v>
      </x:c>
      <x:c r="R89" s="32" t="str">
        <x:f>"W"&amp;INT((E89-DATE(2026,10,5))/7)+1</x:f>
        <x:v>W10</x:v>
      </x:c>
      <x:c r="S89" s="30" t="str">
        <x:v>F — Assessment &amp; Product Ops &gt; F1 — Question bank &amp; Exams &gt; Exam management</x:v>
      </x:c>
      <x:c r="T89" s="30" t="str">
        <x:v>List = Macro Phase; Card = Work Package; Checklist = Task</x:v>
      </x:c>
    </x:row>
    <x:row r="90" ht="42" customHeight="1">
      <x:c r="A90" s="30" t="str">
        <x:v>F1.03</x:v>
      </x:c>
      <x:c r="B90" s="30" t="str">
        <x:v>F — Assessment &amp; Product Ops</x:v>
      </x:c>
      <x:c r="C90" s="30" t="str">
        <x:v>F1 — Student assessment</x:v>
      </x:c>
      <x:c r="D90" s="30" t="str">
        <x:v>Quiz/exercise delivery &amp; submit</x:v>
      </x:c>
      <x:c r="E90" s="31" t="n">
        <x:v>46369</x:v>
      </x:c>
      <x:c r="F90" s="31" t="n">
        <x:v>46370</x:v>
      </x:c>
      <x:c r="G90" s="32" t="n">
        <x:f>F90-E90+1</x:f>
        <x:v>2</x:v>
      </x:c>
      <x:c r="H90" s="30" t="str">
        <x:v>Hoàn thành lấy quiz giữa video, quiz response, lấy exercise và submit exercise</x:v>
      </x:c>
      <x:c r="I90" s="30" t="str">
        <x:v>Backend</x:v>
      </x:c>
      <x:c r="J90" s="30" t="str">
        <x:v>Học viên làm và nộp bài theo đúng trạng thái</x:v>
      </x:c>
      <x:c r="K90" s="30" t="str">
        <x:v>08 6.1–6.4; 09 exercise_attempts/attempt_answers</x:v>
      </x:c>
      <x:c r="L90" s="30" t="str">
        <x:v>FE integration/test</x:v>
      </x:c>
      <x:c r="M90" s="30" t="str"/>
      <x:c r="N90" s="30" t="str">
        <x:v>F1.02; B4.02</x:v>
      </x:c>
      <x:c r="O90" s="32" t="str">
        <x:v>P0</x:v>
      </x:c>
      <x:c r="P90" s="32" t="str">
        <x:v>Backend</x:v>
      </x:c>
      <x:c r="Q90" s="32" t="str">
        <x:v>Not Started</x:v>
      </x:c>
      <x:c r="R90" s="32" t="str">
        <x:f>"W"&amp;INT((E90-DATE(2026,10,5))/7)+1</x:f>
        <x:v>W10</x:v>
      </x:c>
      <x:c r="S90" s="30" t="str">
        <x:v>F — Assessment &amp; Product Ops &gt; F1 — Student assessment &gt; Quiz/exercise delivery &amp; submit</x:v>
      </x:c>
      <x:c r="T90" s="30" t="str">
        <x:v>List = Macro Phase; Card = Work Package; Checklist = Task</x:v>
      </x:c>
    </x:row>
    <x:row r="91" ht="42" customHeight="1">
      <x:c r="A91" s="30" t="str">
        <x:v>F1.04</x:v>
      </x:c>
      <x:c r="B91" s="30" t="str">
        <x:v>F — Assessment &amp; Product Ops</x:v>
      </x:c>
      <x:c r="C91" s="30" t="str">
        <x:v>F1 — Student assessment</x:v>
      </x:c>
      <x:c r="D91" s="30" t="str">
        <x:v>Grading behavior</x:v>
      </x:c>
      <x:c r="E91" s="31" t="n">
        <x:v>46370</x:v>
      </x:c>
      <x:c r="F91" s="31" t="n">
        <x:v>46370</x:v>
      </x:c>
      <x:c r="G91" s="32" t="n">
        <x:f>F91-E91+1</x:f>
        <x:v>1</x:v>
      </x:c>
      <x:c r="H91" s="30" t="str">
        <x:v>Kiểm tra chấm tự động, trạng thái attempt và các trường hợp nộp/chấm lỗi</x:v>
      </x:c>
      <x:c r="I91" s="30" t="str">
        <x:v>Verify</x:v>
      </x:c>
      <x:c r="J91" s="30" t="str">
        <x:v>Điểm và trạng thái bài làm nhất quán</x:v>
      </x:c>
      <x:c r="K91" s="30" t="str">
        <x:v>09 §3.5, §10; 10 §5.3</x:v>
      </x:c>
      <x:c r="L91" s="30" t="str">
        <x:v>FE test result/history</x:v>
      </x:c>
      <x:c r="M91" s="30" t="str"/>
      <x:c r="N91" s="30" t="str">
        <x:v>F1.03</x:v>
      </x:c>
      <x:c r="O91" s="32" t="str">
        <x:v>P0</x:v>
      </x:c>
      <x:c r="P91" s="32" t="str">
        <x:v>Backend</x:v>
      </x:c>
      <x:c r="Q91" s="32" t="str">
        <x:v>Not Started</x:v>
      </x:c>
      <x:c r="R91" s="32" t="str">
        <x:f>"W"&amp;INT((E91-DATE(2026,10,5))/7)+1</x:f>
        <x:v>W11</x:v>
      </x:c>
      <x:c r="S91" s="30" t="str">
        <x:v>F — Assessment &amp; Product Ops &gt; F1 — Student assessment &gt; Grading behavior</x:v>
      </x:c>
      <x:c r="T91" s="30" t="str">
        <x:v>List = Macro Phase; Card = Work Package; Checklist = Task</x:v>
      </x:c>
    </x:row>
    <x:row r="92" ht="42" customHeight="1">
      <x:c r="A92" s="30" t="str">
        <x:v>F1.05</x:v>
      </x:c>
      <x:c r="B92" s="30" t="str">
        <x:v>F — Assessment &amp; Product Ops</x:v>
      </x:c>
      <x:c r="C92" s="30" t="str">
        <x:v>F1 — Student assessment</x:v>
      </x:c>
      <x:c r="D92" s="30" t="str">
        <x:v>Assessment handover</x:v>
      </x:c>
      <x:c r="E92" s="31" t="n">
        <x:v>46371</x:v>
      </x:c>
      <x:c r="F92" s="31" t="n">
        <x:v>46371</x:v>
      </x:c>
      <x:c r="G92" s="32" t="n">
        <x:f>F92-E92+1</x:f>
        <x:v>1</x:v>
      </x:c>
      <x:c r="H92" s="30" t="str">
        <x:v>Deploy nhóm Quiz/Exercise, cập nhật Swagger và bàn giao bộ đề mẫu cho FE</x:v>
      </x:c>
      <x:c r="I92" s="30" t="str">
        <x:v>Deploy</x:v>
      </x:c>
      <x:c r="J92" s="30" t="str">
        <x:v>FE có thể tích hợp toàn bộ luồng assessment</x:v>
      </x:c>
      <x:c r="K92" s="30" t="str">
        <x:v>08 §6</x:v>
      </x:c>
      <x:c r="L92" s="30" t="str">
        <x:v>FE integration/test window: 15–16/12</x:v>
      </x:c>
      <x:c r="M92" s="30" t="str"/>
      <x:c r="N92" s="30" t="str">
        <x:v>F1.04</x:v>
      </x:c>
      <x:c r="O92" s="32" t="str">
        <x:v>P0</x:v>
      </x:c>
      <x:c r="P92" s="32" t="str">
        <x:v>Backend</x:v>
      </x:c>
      <x:c r="Q92" s="32" t="str">
        <x:v>Not Started</x:v>
      </x:c>
      <x:c r="R92" s="32" t="str">
        <x:f>"W"&amp;INT((E92-DATE(2026,10,5))/7)+1</x:f>
        <x:v>W11</x:v>
      </x:c>
      <x:c r="S92" s="30" t="str">
        <x:v>F — Assessment &amp; Product Ops &gt; F1 — Student assessment &gt; Assessment handover</x:v>
      </x:c>
      <x:c r="T92" s="30" t="str">
        <x:v>List = Macro Phase; Card = Work Package; Checklist = Task</x:v>
      </x:c>
    </x:row>
    <x:row r="93" ht="42" customHeight="1">
      <x:c r="A93" s="30" t="str">
        <x:v>F1.06</x:v>
      </x:c>
      <x:c r="B93" s="30" t="str">
        <x:v>F — Assessment &amp; Product Ops</x:v>
      </x:c>
      <x:c r="C93" s="30" t="str">
        <x:v>F1 — Student assessment</x:v>
      </x:c>
      <x:c r="D93" s="30" t="str">
        <x:v>Assessment fix &amp; close</x:v>
      </x:c>
      <x:c r="E93" s="31" t="n">
        <x:v>46372</x:v>
      </x:c>
      <x:c r="F93" s="31" t="n">
        <x:v>46372</x:v>
      </x:c>
      <x:c r="G93" s="32" t="n">
        <x:f>F93-E93+1</x:f>
        <x:v>1</x:v>
      </x:c>
      <x:c r="H93" s="30" t="str">
        <x:v>Sửa lỗi FE integration và chốt nhóm Quiz/Exercise</x:v>
      </x:c>
      <x:c r="I93" s="30" t="str">
        <x:v>Verify</x:v>
      </x:c>
      <x:c r="J93" s="30" t="str">
        <x:v>FE PASS assessment</x:v>
      </x:c>
      <x:c r="K93" s="30" t="str">
        <x:v>08 §6; 09 §3.5</x:v>
      </x:c>
      <x:c r="L93" s="30" t="str">
        <x:v>FE PASS</x:v>
      </x:c>
      <x:c r="M93" s="30" t="str"/>
      <x:c r="N93" s="30" t="str">
        <x:v>F1.05</x:v>
      </x:c>
      <x:c r="O93" s="32" t="str">
        <x:v>P0</x:v>
      </x:c>
      <x:c r="P93" s="32" t="str">
        <x:v>Backend</x:v>
      </x:c>
      <x:c r="Q93" s="32" t="str">
        <x:v>Not Started</x:v>
      </x:c>
      <x:c r="R93" s="32" t="str">
        <x:f>"W"&amp;INT((E93-DATE(2026,10,5))/7)+1</x:f>
        <x:v>W11</x:v>
      </x:c>
      <x:c r="S93" s="30" t="str">
        <x:v>F — Assessment &amp; Product Ops &gt; F1 — Student assessment &gt; Assessment fix &amp; close</x:v>
      </x:c>
      <x:c r="T93" s="30" t="str">
        <x:v>List = Macro Phase; Card = Work Package; Checklist = Task</x:v>
      </x:c>
    </x:row>
    <x:row r="94" ht="42" customHeight="1">
      <x:c r="A94" s="30" t="str">
        <x:v>F2.01</x:v>
      </x:c>
      <x:c r="B94" s="30" t="str">
        <x:v>F — Assessment &amp; Product Ops</x:v>
      </x:c>
      <x:c r="C94" s="30" t="str">
        <x:v>F2 — Notifications</x:v>
      </x:c>
      <x:c r="D94" s="30" t="str">
        <x:v>Notification APIs</x:v>
      </x:c>
      <x:c r="E94" s="31" t="n">
        <x:v>46372</x:v>
      </x:c>
      <x:c r="F94" s="31" t="n">
        <x:v>46372</x:v>
      </x:c>
      <x:c r="G94" s="32" t="n">
        <x:f>F94-E94+1</x:f>
        <x:v>1</x:v>
      </x:c>
      <x:c r="H94" s="30" t="str">
        <x:v>Hoàn thành unread count, danh sách thông báo và đánh dấu đã đọc</x:v>
      </x:c>
      <x:c r="I94" s="30" t="str">
        <x:v>Backend</x:v>
      </x:c>
      <x:c r="J94" s="30" t="str">
        <x:v>FE có thể hiển thị notification badge/list</x:v>
      </x:c>
      <x:c r="K94" s="30" t="str">
        <x:v>08 §10; 09 notifications</x:v>
      </x:c>
      <x:c r="L94" s="30" t="str">
        <x:v>FE test notification</x:v>
      </x:c>
      <x:c r="M94" s="30" t="str"/>
      <x:c r="N94" s="30" t="str">
        <x:v>F1.06</x:v>
      </x:c>
      <x:c r="O94" s="32" t="str">
        <x:v>P1</x:v>
      </x:c>
      <x:c r="P94" s="32" t="str">
        <x:v>Backend</x:v>
      </x:c>
      <x:c r="Q94" s="32" t="str">
        <x:v>Not Started</x:v>
      </x:c>
      <x:c r="R94" s="32" t="str">
        <x:f>"W"&amp;INT((E94-DATE(2026,10,5))/7)+1</x:f>
        <x:v>W11</x:v>
      </x:c>
      <x:c r="S94" s="30" t="str">
        <x:v>F — Assessment &amp; Product Ops &gt; F2 — Notifications &gt; Notification APIs</x:v>
      </x:c>
      <x:c r="T94" s="30" t="str">
        <x:v>List = Macro Phase; Card = Work Package; Checklist = Task</x:v>
      </x:c>
    </x:row>
    <x:row r="95" ht="42" customHeight="1">
      <x:c r="A95" s="30" t="str">
        <x:v>F2.02</x:v>
      </x:c>
      <x:c r="B95" s="30" t="str">
        <x:v>F — Assessment &amp; Product Ops</x:v>
      </x:c>
      <x:c r="C95" s="30" t="str">
        <x:v>F2 — Notifications</x:v>
      </x:c>
      <x:c r="D95" s="30" t="str">
        <x:v>Notification handover</x:v>
      </x:c>
      <x:c r="E95" s="31" t="n">
        <x:v>46373</x:v>
      </x:c>
      <x:c r="F95" s="31" t="n">
        <x:v>46373</x:v>
      </x:c>
      <x:c r="G95" s="32" t="n">
        <x:f>F95-E95+1</x:f>
        <x:v>1</x:v>
      </x:c>
      <x:c r="H95" s="30" t="str">
        <x:v>Deploy notification và kiểm tra response/pagination/read-state</x:v>
      </x:c>
      <x:c r="I95" s="30" t="str">
        <x:v>Deploy</x:v>
      </x:c>
      <x:c r="J95" s="30" t="str">
        <x:v>Notification group sẵn sàng</x:v>
      </x:c>
      <x:c r="K95" s="30" t="str">
        <x:v>08 §10</x:v>
      </x:c>
      <x:c r="L95" s="30" t="str">
        <x:v>FE integration/test window</x:v>
      </x:c>
      <x:c r="M95" s="30" t="str"/>
      <x:c r="N95" s="30" t="str">
        <x:v>F2.01</x:v>
      </x:c>
      <x:c r="O95" s="32" t="str">
        <x:v>P1</x:v>
      </x:c>
      <x:c r="P95" s="32" t="str">
        <x:v>Backend</x:v>
      </x:c>
      <x:c r="Q95" s="32" t="str">
        <x:v>Not Started</x:v>
      </x:c>
      <x:c r="R95" s="32" t="str">
        <x:f>"W"&amp;INT((E95-DATE(2026,10,5))/7)+1</x:f>
        <x:v>W11</x:v>
      </x:c>
      <x:c r="S95" s="30" t="str">
        <x:v>F — Assessment &amp; Product Ops &gt; F2 — Notifications &gt; Notification handover</x:v>
      </x:c>
      <x:c r="T95" s="30" t="str">
        <x:v>List = Macro Phase; Card = Work Package; Checklist = Task</x:v>
      </x:c>
    </x:row>
    <x:row r="96" ht="42" customHeight="1">
      <x:c r="A96" s="24" t="str">
        <x:v>G1.01</x:v>
      </x:c>
      <x:c r="B96" s="24" t="str">
        <x:v>G — Payment &amp; Admin</x:v>
      </x:c>
      <x:c r="C96" s="24" t="str">
        <x:v>G1 — PayOS integration</x:v>
      </x:c>
      <x:c r="D96" s="24" t="str">
        <x:v>Create order &amp; QR</x:v>
      </x:c>
      <x:c r="E96" s="25" t="n">
        <x:v>46374</x:v>
      </x:c>
      <x:c r="F96" s="25" t="n">
        <x:v>46374</x:v>
      </x:c>
      <x:c r="G96" s="26" t="n">
        <x:f>F96-E96+1</x:f>
        <x:v>1</x:v>
      </x:c>
      <x:c r="H96" s="24" t="str">
        <x:v>Hoàn thành tạo order, số tiền, hạn thanh toán và tạo payment link/QR qua PayOS</x:v>
      </x:c>
      <x:c r="I96" s="24" t="str">
        <x:v>Backend</x:v>
      </x:c>
      <x:c r="J96" s="24" t="str">
        <x:v>FE nhận được thông tin thanh toán để hiển thị QR/link</x:v>
      </x:c>
      <x:c r="K96" s="24" t="str">
        <x:v>08 §8.1; 10 §8.4</x:v>
      </x:c>
      <x:c r="L96" s="24" t="str">
        <x:v>FE payment screen có thể tích hợp</x:v>
      </x:c>
      <x:c r="M96" s="24" t="str"/>
      <x:c r="N96" s="24" t="str">
        <x:v>A3.04; B4.01</x:v>
      </x:c>
      <x:c r="O96" s="26" t="str">
        <x:v>P0</x:v>
      </x:c>
      <x:c r="P96" s="26" t="str">
        <x:v>Backend</x:v>
      </x:c>
      <x:c r="Q96" s="26" t="str">
        <x:v>Not Started</x:v>
      </x:c>
      <x:c r="R96" s="26" t="str">
        <x:f>"W"&amp;INT((E96-DATE(2026,10,5))/7)+1</x:f>
        <x:v>W11</x:v>
      </x:c>
      <x:c r="S96" s="24" t="str">
        <x:v>G — Payment &amp; Admin &gt; G1 — PayOS integration &gt; Create order &amp; QR</x:v>
      </x:c>
      <x:c r="T96" s="24" t="str">
        <x:v>List = Macro Phase; Card = Work Package; Checklist = Task</x:v>
      </x:c>
    </x:row>
    <x:row r="97" ht="42" customHeight="1">
      <x:c r="A97" s="24" t="str">
        <x:v>G1.02</x:v>
      </x:c>
      <x:c r="B97" s="24" t="str">
        <x:v>G — Payment &amp; Admin</x:v>
      </x:c>
      <x:c r="C97" s="24" t="str">
        <x:v>G1 — PayOS integration</x:v>
      </x:c>
      <x:c r="D97" s="24" t="str">
        <x:v>Polling &amp; cancel</x:v>
      </x:c>
      <x:c r="E97" s="25" t="n">
        <x:v>46374</x:v>
      </x:c>
      <x:c r="F97" s="25" t="n">
        <x:v>46374</x:v>
      </x:c>
      <x:c r="G97" s="26" t="n">
        <x:f>F97-E97+1</x:f>
        <x:v>1</x:v>
      </x:c>
      <x:c r="H97" s="24" t="str">
        <x:v>Hoàn thành kiểm tra trạng thái thanh toán và hủy order</x:v>
      </x:c>
      <x:c r="I97" s="24" t="str">
        <x:v>Backend</x:v>
      </x:c>
      <x:c r="J97" s="24" t="str">
        <x:v>FE có thể polling và cancel thanh toán</x:v>
      </x:c>
      <x:c r="K97" s="24" t="str">
        <x:v>08 §8.2–8.3; 10 §7.3</x:v>
      </x:c>
      <x:c r="L97" s="24" t="str">
        <x:v>FE test status/cancel</x:v>
      </x:c>
      <x:c r="M97" s="24" t="str"/>
      <x:c r="N97" s="24" t="str">
        <x:v>G1.01</x:v>
      </x:c>
      <x:c r="O97" s="26" t="str">
        <x:v>P0</x:v>
      </x:c>
      <x:c r="P97" s="26" t="str">
        <x:v>Backend</x:v>
      </x:c>
      <x:c r="Q97" s="26" t="str">
        <x:v>Not Started</x:v>
      </x:c>
      <x:c r="R97" s="26" t="str">
        <x:f>"W"&amp;INT((E97-DATE(2026,10,5))/7)+1</x:f>
        <x:v>W11</x:v>
      </x:c>
      <x:c r="S97" s="24" t="str">
        <x:v>G — Payment &amp; Admin &gt; G1 — PayOS integration &gt; Polling &amp; cancel</x:v>
      </x:c>
      <x:c r="T97" s="24" t="str">
        <x:v>List = Macro Phase; Card = Work Package; Checklist = Task</x:v>
      </x:c>
    </x:row>
    <x:row r="98" ht="42" customHeight="1">
      <x:c r="A98" s="24" t="str">
        <x:v>G1.03</x:v>
      </x:c>
      <x:c r="B98" s="24" t="str">
        <x:v>G — Payment &amp; Admin</x:v>
      </x:c>
      <x:c r="C98" s="24" t="str">
        <x:v>G1 — PayOS integration</x:v>
      </x:c>
      <x:c r="D98" s="24" t="str">
        <x:v>Webhook</x:v>
      </x:c>
      <x:c r="E98" s="25" t="n">
        <x:v>46375</x:v>
      </x:c>
      <x:c r="F98" s="25" t="n">
        <x:v>46375</x:v>
      </x:c>
      <x:c r="G98" s="26" t="n">
        <x:f>F98-E98+1</x:f>
        <x:v>1</x:v>
      </x:c>
      <x:c r="H98" s="24" t="str">
        <x:v>Hoàn thành webhook PayOS, kiểm tra HMAC và xử lý chuyển order sang paid</x:v>
      </x:c>
      <x:c r="I98" s="24" t="str">
        <x:v>Backend</x:v>
      </x:c>
      <x:c r="J98" s="24" t="str">
        <x:v>Webhook server-to-server xác thực được và cập nhật giao dịch an toàn</x:v>
      </x:c>
      <x:c r="K98" s="24" t="str">
        <x:v>08 §8.4; 10 §8.4</x:v>
      </x:c>
      <x:c r="L98" s="24" t="str">
        <x:v>FE chưa cần test trực tiếp</x:v>
      </x:c>
      <x:c r="M98" s="24" t="str"/>
      <x:c r="N98" s="24" t="str">
        <x:v>G1.01; A3.05</x:v>
      </x:c>
      <x:c r="O98" s="26" t="str">
        <x:v>P0</x:v>
      </x:c>
      <x:c r="P98" s="26" t="str">
        <x:v>Backend</x:v>
      </x:c>
      <x:c r="Q98" s="26" t="str">
        <x:v>Not Started</x:v>
      </x:c>
      <x:c r="R98" s="26" t="str">
        <x:f>"W"&amp;INT((E98-DATE(2026,10,5))/7)+1</x:f>
        <x:v>W11</x:v>
      </x:c>
      <x:c r="S98" s="24" t="str">
        <x:v>G — Payment &amp; Admin &gt; G1 — PayOS integration &gt; Webhook</x:v>
      </x:c>
      <x:c r="T98" s="24" t="str">
        <x:v>List = Macro Phase; Card = Work Package; Checklist = Task</x:v>
      </x:c>
    </x:row>
    <x:row r="99" ht="42" customHeight="1">
      <x:c r="A99" s="24" t="str">
        <x:v>G1.04</x:v>
      </x:c>
      <x:c r="B99" s="24" t="str">
        <x:v>G — Payment &amp; Admin</x:v>
      </x:c>
      <x:c r="C99" s="24" t="str">
        <x:v>G1 — PayOS integration</x:v>
      </x:c>
      <x:c r="D99" s="24" t="str">
        <x:v>Payment → enrollment</x:v>
      </x:c>
      <x:c r="E99" s="25" t="n">
        <x:v>46375</x:v>
      </x:c>
      <x:c r="F99" s="25" t="n">
        <x:v>46375</x:v>
      </x:c>
      <x:c r="G99" s="26" t="n">
        <x:f>F99-E99+1</x:f>
        <x:v>1</x:v>
      </x:c>
      <x:c r="H99" s="24" t="str">
        <x:v>Hoàn thành liên kết thanh toán thành công với enrollment và kiểm tra idempotency webhook</x:v>
      </x:c>
      <x:c r="I99" s="24" t="str">
        <x:v>Backend</x:v>
      </x:c>
      <x:c r="J99" s="24" t="str">
        <x:v>Thanh toán thành công cấp quyền học đúng một lần</x:v>
      </x:c>
      <x:c r="K99" s="24" t="str">
        <x:v>09 orders/enrollments; 10 §5.6</x:v>
      </x:c>
      <x:c r="L99" s="24" t="str">
        <x:v>FE test purchased course</x:v>
      </x:c>
      <x:c r="M99" s="24" t="str"/>
      <x:c r="N99" s="24" t="str">
        <x:v>G1.03</x:v>
      </x:c>
      <x:c r="O99" s="26" t="str">
        <x:v>P0</x:v>
      </x:c>
      <x:c r="P99" s="26" t="str">
        <x:v>Backend</x:v>
      </x:c>
      <x:c r="Q99" s="26" t="str">
        <x:v>Not Started</x:v>
      </x:c>
      <x:c r="R99" s="26" t="str">
        <x:f>"W"&amp;INT((E99-DATE(2026,10,5))/7)+1</x:f>
        <x:v>W11</x:v>
      </x:c>
      <x:c r="S99" s="24" t="str">
        <x:v>G — Payment &amp; Admin &gt; G1 — PayOS integration &gt; Payment → enrollment</x:v>
      </x:c>
      <x:c r="T99" s="24" t="str">
        <x:v>List = Macro Phase; Card = Work Package; Checklist = Task</x:v>
      </x:c>
    </x:row>
    <x:row r="100" ht="42" customHeight="1">
      <x:c r="A100" s="24" t="str">
        <x:v>G1.05</x:v>
      </x:c>
      <x:c r="B100" s="24" t="str">
        <x:v>G — Payment &amp; Admin</x:v>
      </x:c>
      <x:c r="C100" s="24" t="str">
        <x:v>G1 — PayOS integration</x:v>
      </x:c>
      <x:c r="D100" s="24" t="str">
        <x:v>Payment real sandbox validation</x:v>
      </x:c>
      <x:c r="E100" s="25" t="n">
        <x:v>46376</x:v>
      </x:c>
      <x:c r="F100" s="25" t="n">
        <x:v>46376</x:v>
      </x:c>
      <x:c r="G100" s="26" t="n">
        <x:f>F100-E100+1</x:f>
        <x:v>1</x:v>
      </x:c>
      <x:c r="H100" s="24" t="str">
        <x:v>Kiểm thử success/cancel/expired/invalid signature/duplicate webhook trên môi trường thử nghiệm</x:v>
      </x:c>
      <x:c r="I100" s="24" t="str">
        <x:v>Verify</x:v>
      </x:c>
      <x:c r="J100" s="24" t="str">
        <x:v>PayOS flow ổn định trước khi chốt</x:v>
      </x:c>
      <x:c r="K100" s="24" t="str">
        <x:v>08 §8; 10 §8.4</x:v>
      </x:c>
      <x:c r="L100" s="24" t="str">
        <x:v>FE integration/test window: 20–21/12</x:v>
      </x:c>
      <x:c r="M100" s="24" t="str"/>
      <x:c r="N100" s="24" t="str">
        <x:v>G1.02; G1.04</x:v>
      </x:c>
      <x:c r="O100" s="26" t="str">
        <x:v>P0</x:v>
      </x:c>
      <x:c r="P100" s="26" t="str">
        <x:v>Backend</x:v>
      </x:c>
      <x:c r="Q100" s="26" t="str">
        <x:v>Not Started</x:v>
      </x:c>
      <x:c r="R100" s="26" t="str">
        <x:f>"W"&amp;INT((E100-DATE(2026,10,5))/7)+1</x:f>
        <x:v>W11</x:v>
      </x:c>
      <x:c r="S100" s="24" t="str">
        <x:v>G — Payment &amp; Admin &gt; G1 — PayOS integration &gt; Payment real sandbox validation</x:v>
      </x:c>
      <x:c r="T100" s="24" t="str">
        <x:v>List = Macro Phase; Card = Work Package; Checklist = Task</x:v>
      </x:c>
    </x:row>
    <x:row r="101" ht="42" customHeight="1">
      <x:c r="A101" s="24" t="str">
        <x:v>G1.06</x:v>
      </x:c>
      <x:c r="B101" s="24" t="str">
        <x:v>G — Payment &amp; Admin</x:v>
      </x:c>
      <x:c r="C101" s="24" t="str">
        <x:v>G1 — PayOS integration</x:v>
      </x:c>
      <x:c r="D101" s="24" t="str">
        <x:v>Payment fix &amp; close</x:v>
      </x:c>
      <x:c r="E101" s="25" t="n">
        <x:v>46377</x:v>
      </x:c>
      <x:c r="F101" s="25" t="n">
        <x:v>46377</x:v>
      </x:c>
      <x:c r="G101" s="26" t="n">
        <x:f>F101-E101+1</x:f>
        <x:v>1</x:v>
      </x:c>
      <x:c r="H101" s="24" t="str">
        <x:v>Sửa lỗi thanh toán phát sinh từ FE/PayOS và chốt nhóm Payment</x:v>
      </x:c>
      <x:c r="I101" s="24" t="str">
        <x:v>Verify</x:v>
      </x:c>
      <x:c r="J101" s="24" t="str">
        <x:v>FE PASS payment→enrollment</x:v>
      </x:c>
      <x:c r="K101" s="24" t="str">
        <x:v>08 §8</x:v>
      </x:c>
      <x:c r="L101" s="24" t="str">
        <x:v>FE PASS</x:v>
      </x:c>
      <x:c r="M101" s="24" t="str">
        <x:v>★ M12 — Payment ready</x:v>
      </x:c>
      <x:c r="N101" s="24" t="str">
        <x:v>G1.05</x:v>
      </x:c>
      <x:c r="O101" s="26" t="str">
        <x:v>P0</x:v>
      </x:c>
      <x:c r="P101" s="26" t="str">
        <x:v>Backend</x:v>
      </x:c>
      <x:c r="Q101" s="26" t="str">
        <x:v>Not Started</x:v>
      </x:c>
      <x:c r="R101" s="26" t="str">
        <x:f>"W"&amp;INT((E101-DATE(2026,10,5))/7)+1</x:f>
        <x:v>W12</x:v>
      </x:c>
      <x:c r="S101" s="24" t="str">
        <x:v>G — Payment &amp; Admin &gt; G1 — PayOS integration &gt; Payment fix &amp; close</x:v>
      </x:c>
      <x:c r="T101" s="24" t="str">
        <x:v>List = Macro Phase; Card = Work Package; Checklist = Task</x:v>
      </x:c>
    </x:row>
    <x:row r="102" ht="42" customHeight="1">
      <x:c r="A102" s="24" t="str">
        <x:v>G2.01</x:v>
      </x:c>
      <x:c r="B102" s="24" t="str">
        <x:v>G — Payment &amp; Admin</x:v>
      </x:c>
      <x:c r="C102" s="24" t="str">
        <x:v>G2 — Admin operations</x:v>
      </x:c>
      <x:c r="D102" s="24" t="str">
        <x:v>Admin course/instructor/user/pipeline validation</x:v>
      </x:c>
      <x:c r="E102" s="25" t="n">
        <x:v>46377</x:v>
      </x:c>
      <x:c r="F102" s="25" t="n">
        <x:v>46377</x:v>
      </x:c>
      <x:c r="G102" s="26" t="n">
        <x:f>F102-E102+1</x:f>
        <x:v>1</x:v>
      </x:c>
      <x:c r="H102" s="24" t="str">
        <x:v>Kiểm tra tập trung các màn hình Admin đã có: course, instructor, users và pipeline</x:v>
      </x:c>
      <x:c r="I102" s="24" t="str">
        <x:v>Verify</x:v>
      </x:c>
      <x:c r="J102" s="24" t="str">
        <x:v>Admin có đầy đủ luồng quản trị cốt lõi trước final integration</x:v>
      </x:c>
      <x:c r="K102" s="24" t="str">
        <x:v>08 §2.9–2.14, §9, §11.4</x:v>
      </x:c>
      <x:c r="L102" s="24" t="str">
        <x:v>FE Admin regression</x:v>
      </x:c>
      <x:c r="M102" s="24" t="str"/>
      <x:c r="N102" s="24" t="str">
        <x:v>G1.06; C3.07</x:v>
      </x:c>
      <x:c r="O102" s="26" t="str">
        <x:v>P1</x:v>
      </x:c>
      <x:c r="P102" s="26" t="str">
        <x:v>Backend</x:v>
      </x:c>
      <x:c r="Q102" s="26" t="str">
        <x:v>Not Started</x:v>
      </x:c>
      <x:c r="R102" s="26" t="str">
        <x:f>"W"&amp;INT((E102-DATE(2026,10,5))/7)+1</x:f>
        <x:v>W12</x:v>
      </x:c>
      <x:c r="S102" s="24" t="str">
        <x:v>G — Payment &amp; Admin &gt; G2 — Admin operations &gt; Admin course/instructor/user/pipeline validation</x:v>
      </x:c>
      <x:c r="T102" s="24" t="str">
        <x:v>List = Macro Phase; Card = Work Package; Checklist = Task</x:v>
      </x:c>
    </x:row>
    <x:row r="103" ht="42" customHeight="1">
      <x:c r="A103" s="24" t="str">
        <x:v>G2.02</x:v>
      </x:c>
      <x:c r="B103" s="24" t="str">
        <x:v>G — Payment &amp; Admin</x:v>
      </x:c>
      <x:c r="C103" s="24" t="str">
        <x:v>G2 — Analytics &amp; settings</x:v>
      </x:c>
      <x:c r="D103" s="24" t="str">
        <x:v>Dashboard KPI</x:v>
      </x:c>
      <x:c r="E103" s="25" t="n">
        <x:v>46378</x:v>
      </x:c>
      <x:c r="F103" s="25" t="n">
        <x:v>46378</x:v>
      </x:c>
      <x:c r="G103" s="26" t="n">
        <x:f>F103-E103+1</x:f>
        <x:v>1</x:v>
      </x:c>
      <x:c r="H103" s="24" t="str">
        <x:v>Hoàn thành KPI dashboard tổng quan</x:v>
      </x:c>
      <x:c r="I103" s="24" t="str">
        <x:v>Backend</x:v>
      </x:c>
      <x:c r="J103" s="24" t="str">
        <x:v>Admin xem được số liệu tổng quan theo contract</x:v>
      </x:c>
      <x:c r="K103" s="24" t="str">
        <x:v>08 12.1; 09 analytics</x:v>
      </x:c>
      <x:c r="L103" s="24" t="str">
        <x:v>FE Admin test dashboard</x:v>
      </x:c>
      <x:c r="M103" s="24" t="str"/>
      <x:c r="N103" s="24" t="str">
        <x:v>B5.02</x:v>
      </x:c>
      <x:c r="O103" s="26" t="str">
        <x:v>P1</x:v>
      </x:c>
      <x:c r="P103" s="26" t="str">
        <x:v>Backend</x:v>
      </x:c>
      <x:c r="Q103" s="26" t="str">
        <x:v>Not Started</x:v>
      </x:c>
      <x:c r="R103" s="26" t="str">
        <x:f>"W"&amp;INT((E103-DATE(2026,10,5))/7)+1</x:f>
        <x:v>W12</x:v>
      </x:c>
      <x:c r="S103" s="24" t="str">
        <x:v>G — Payment &amp; Admin &gt; G2 — Analytics &amp; settings &gt; Dashboard KPI</x:v>
      </x:c>
      <x:c r="T103" s="24" t="str">
        <x:v>List = Macro Phase; Card = Work Package; Checklist = Task</x:v>
      </x:c>
    </x:row>
    <x:row r="104" ht="42" customHeight="1">
      <x:c r="A104" s="24" t="str">
        <x:v>G2.03</x:v>
      </x:c>
      <x:c r="B104" s="24" t="str">
        <x:v>G — Payment &amp; Admin</x:v>
      </x:c>
      <x:c r="C104" s="24" t="str">
        <x:v>G2 — Analytics &amp; settings</x:v>
      </x:c>
      <x:c r="D104" s="24" t="str">
        <x:v>Revenue reporting</x:v>
      </x:c>
      <x:c r="E104" s="25" t="n">
        <x:v>46378</x:v>
      </x:c>
      <x:c r="F104" s="25" t="n">
        <x:v>46378</x:v>
      </x:c>
      <x:c r="G104" s="26" t="n">
        <x:f>F104-E104+1</x:f>
        <x:v>1</x:v>
      </x:c>
      <x:c r="H104" s="24" t="str">
        <x:v>Hoàn thành revenue summary/chart/transactions cơ bản</x:v>
      </x:c>
      <x:c r="I104" s="24" t="str">
        <x:v>Backend</x:v>
      </x:c>
      <x:c r="J104" s="24" t="str">
        <x:v>Admin xem được báo cáo doanh thu cơ bản</x:v>
      </x:c>
      <x:c r="K104" s="24" t="str">
        <x:v>08 12.2a–12.2c; 09 orders</x:v>
      </x:c>
      <x:c r="L104" s="24" t="str">
        <x:v>FE Admin test revenue</x:v>
      </x:c>
      <x:c r="M104" s="24" t="str"/>
      <x:c r="N104" s="24" t="str">
        <x:v>G1.06</x:v>
      </x:c>
      <x:c r="O104" s="26" t="str">
        <x:v>P1</x:v>
      </x:c>
      <x:c r="P104" s="26" t="str">
        <x:v>Backend</x:v>
      </x:c>
      <x:c r="Q104" s="26" t="str">
        <x:v>Not Started</x:v>
      </x:c>
      <x:c r="R104" s="26" t="str">
        <x:f>"W"&amp;INT((E104-DATE(2026,10,5))/7)+1</x:f>
        <x:v>W12</x:v>
      </x:c>
      <x:c r="S104" s="24" t="str">
        <x:v>G — Payment &amp; Admin &gt; G2 — Analytics &amp; settings &gt; Revenue reporting</x:v>
      </x:c>
      <x:c r="T104" s="24" t="str">
        <x:v>List = Macro Phase; Card = Work Package; Checklist = Task</x:v>
      </x:c>
    </x:row>
    <x:row r="105" ht="42" customHeight="1">
      <x:c r="A105" s="24" t="str">
        <x:v>G2.04</x:v>
      </x:c>
      <x:c r="B105" s="24" t="str">
        <x:v>G — Payment &amp; Admin</x:v>
      </x:c>
      <x:c r="C105" s="24" t="str">
        <x:v>G2 — Analytics &amp; settings</x:v>
      </x:c>
      <x:c r="D105" s="24" t="str">
        <x:v>Student &amp; AI analytics</x:v>
      </x:c>
      <x:c r="E105" s="25" t="n">
        <x:v>46378</x:v>
      </x:c>
      <x:c r="F105" s="25" t="n">
        <x:v>46378</x:v>
      </x:c>
      <x:c r="G105" s="26" t="n">
        <x:f>F105-E105+1</x:f>
        <x:v>1</x:v>
      </x:c>
      <x:c r="H105" s="24" t="str">
        <x:v>Hoàn thành analytics students và thống kê câu hỏi AI cơ bản</x:v>
      </x:c>
      <x:c r="I105" s="24" t="str">
        <x:v>Backend</x:v>
      </x:c>
      <x:c r="J105" s="24" t="str">
        <x:v>Admin có dữ liệu phân tích trong phạm vi Đồ án 1</x:v>
      </x:c>
      <x:c r="K105" s="24" t="str">
        <x:v>08 12.3–12.4; 09 analytics</x:v>
      </x:c>
      <x:c r="L105" s="24" t="str">
        <x:v>FE Admin test analytics</x:v>
      </x:c>
      <x:c r="M105" s="24" t="str"/>
      <x:c r="N105" s="24" t="str">
        <x:v>E4.02; F1.06</x:v>
      </x:c>
      <x:c r="O105" s="26" t="str">
        <x:v>P1</x:v>
      </x:c>
      <x:c r="P105" s="26" t="str">
        <x:v>Backend</x:v>
      </x:c>
      <x:c r="Q105" s="26" t="str">
        <x:v>Not Started</x:v>
      </x:c>
      <x:c r="R105" s="26" t="str">
        <x:f>"W"&amp;INT((E105-DATE(2026,10,5))/7)+1</x:f>
        <x:v>W12</x:v>
      </x:c>
      <x:c r="S105" s="24" t="str">
        <x:v>G — Payment &amp; Admin &gt; G2 — Analytics &amp; settings &gt; Student &amp; AI analytics</x:v>
      </x:c>
      <x:c r="T105" s="24" t="str">
        <x:v>List = Macro Phase; Card = Work Package; Checklist = Task</x:v>
      </x:c>
    </x:row>
    <x:row r="106" ht="42" customHeight="1">
      <x:c r="A106" s="24" t="str">
        <x:v>G2.05</x:v>
      </x:c>
      <x:c r="B106" s="24" t="str">
        <x:v>G — Payment &amp; Admin</x:v>
      </x:c>
      <x:c r="C106" s="24" t="str">
        <x:v>G2 — Analytics &amp; settings</x:v>
      </x:c>
      <x:c r="D106" s="24" t="str">
        <x:v>System settings</x:v>
      </x:c>
      <x:c r="E106" s="25" t="n">
        <x:v>46378</x:v>
      </x:c>
      <x:c r="F106" s="25" t="n">
        <x:v>46378</x:v>
      </x:c>
      <x:c r="G106" s="26" t="n">
        <x:f>F106-E106+1</x:f>
        <x:v>1</x:v>
      </x:c>
      <x:c r="H106" s="24" t="str">
        <x:v>Hoàn thành get/update system settings theo phạm vi đã chốt</x:v>
      </x:c>
      <x:c r="I106" s="24" t="str">
        <x:v>Backend</x:v>
      </x:c>
      <x:c r="J106" s="24" t="str">
        <x:v>Admin có thể xem/cập nhật cấu hình vận hành được phép</x:v>
      </x:c>
      <x:c r="K106" s="24" t="str">
        <x:v>08 12.5; 09 system_settings</x:v>
      </x:c>
      <x:c r="L106" s="24" t="str">
        <x:v>FE Admin test settings</x:v>
      </x:c>
      <x:c r="M106" s="24" t="str">
        <x:v>★ M13 — Admin functional scope ready</x:v>
      </x:c>
      <x:c r="N106" s="24" t="str">
        <x:v>G2.02; G2.03; G2.04</x:v>
      </x:c>
      <x:c r="O106" s="26" t="str">
        <x:v>P1</x:v>
      </x:c>
      <x:c r="P106" s="26" t="str">
        <x:v>Backend</x:v>
      </x:c>
      <x:c r="Q106" s="26" t="str">
        <x:v>Not Started</x:v>
      </x:c>
      <x:c r="R106" s="26" t="str">
        <x:f>"W"&amp;INT((E106-DATE(2026,10,5))/7)+1</x:f>
        <x:v>W12</x:v>
      </x:c>
      <x:c r="S106" s="24" t="str">
        <x:v>G — Payment &amp; Admin &gt; G2 — Analytics &amp; settings &gt; System settings</x:v>
      </x:c>
      <x:c r="T106" s="24" t="str">
        <x:v>List = Macro Phase; Card = Work Package; Checklist = Task</x:v>
      </x:c>
    </x:row>
    <x:row r="107" ht="42" customHeight="1">
      <x:c r="A107" s="30" t="str">
        <x:v>H1.01</x:v>
      </x:c>
      <x:c r="B107" s="30" t="str">
        <x:v>H — Integration &amp; Production</x:v>
      </x:c>
      <x:c r="C107" s="30" t="str">
        <x:v>H1 — Full E2E</x:v>
      </x:c>
      <x:c r="D107" s="30" t="str">
        <x:v>Prepare final test data</x:v>
      </x:c>
      <x:c r="E107" s="31" t="n">
        <x:v>46379</x:v>
      </x:c>
      <x:c r="F107" s="31" t="n">
        <x:v>46379</x:v>
      </x:c>
      <x:c r="G107" s="32" t="n">
        <x:f>F107-E107+1</x:f>
        <x:v>1</x:v>
      </x:c>
      <x:c r="H107" s="30" t="str">
        <x:v>Khóa bộ dữ liệu demo cuối: admin, student, course, lessons, video, transcript, quiz và trạng thái thanh toán</x:v>
      </x:c>
      <x:c r="I107" s="30" t="str">
        <x:v>Data</x:v>
      </x:c>
      <x:c r="J107" s="30" t="str">
        <x:v>Có dữ liệu nhất quán cho toàn bộ kịch bản E2E</x:v>
      </x:c>
      <x:c r="K107" s="30" t="str">
        <x:v>09 §3–10; 08 toàn bộ nhóm API</x:v>
      </x:c>
      <x:c r="L107" s="30" t="str">
        <x:v>FE dùng chung cùng dataset</x:v>
      </x:c>
      <x:c r="M107" s="30" t="str"/>
      <x:c r="N107" s="30" t="str">
        <x:v>G2.05</x:v>
      </x:c>
      <x:c r="O107" s="32" t="str">
        <x:v>P0</x:v>
      </x:c>
      <x:c r="P107" s="32" t="str">
        <x:v>Backend</x:v>
      </x:c>
      <x:c r="Q107" s="32" t="str">
        <x:v>Not Started</x:v>
      </x:c>
      <x:c r="R107" s="32" t="str">
        <x:f>"W"&amp;INT((E107-DATE(2026,10,5))/7)+1</x:f>
        <x:v>W12</x:v>
      </x:c>
      <x:c r="S107" s="30" t="str">
        <x:v>H — Integration &amp; Production &gt; H1 — Full E2E &gt; Prepare final test data</x:v>
      </x:c>
      <x:c r="T107" s="30" t="str">
        <x:v>List = Macro Phase; Card = Work Package; Checklist = Task</x:v>
      </x:c>
    </x:row>
    <x:row r="108" ht="42" customHeight="1">
      <x:c r="A108" s="30" t="str">
        <x:v>H1.02</x:v>
      </x:c>
      <x:c r="B108" s="30" t="str">
        <x:v>H — Integration &amp; Production</x:v>
      </x:c>
      <x:c r="C108" s="30" t="str">
        <x:v>H1 — Full E2E</x:v>
      </x:c>
      <x:c r="D108" s="30" t="str">
        <x:v>Student E2E flow</x:v>
      </x:c>
      <x:c r="E108" s="31" t="n">
        <x:v>46380</x:v>
      </x:c>
      <x:c r="F108" s="31" t="n">
        <x:v>46380</x:v>
      </x:c>
      <x:c r="G108" s="32" t="n">
        <x:f>F108-E108+1</x:f>
        <x:v>1</x:v>
      </x:c>
      <x:c r="H108" s="30" t="str">
        <x:v>Chạy toàn bộ luồng học viên: register/login → course → enroll → lesson → video → progress → notes → quiz → AI → summary</x:v>
      </x:c>
      <x:c r="I108" s="30" t="str">
        <x:v>Verify</x:v>
      </x:c>
      <x:c r="J108" s="30" t="str">
        <x:v>Luồng học viên chạy xuyên suốt trên staging</x:v>
      </x:c>
      <x:c r="K108" s="30" t="str">
        <x:v>08 §1–7; 11 pipeline</x:v>
      </x:c>
      <x:c r="L108" s="30" t="str">
        <x:v>FE + Backend cùng chạy E2E</x:v>
      </x:c>
      <x:c r="M108" s="30" t="str"/>
      <x:c r="N108" s="30" t="str">
        <x:v>H1.01</x:v>
      </x:c>
      <x:c r="O108" s="32" t="str">
        <x:v>P0</x:v>
      </x:c>
      <x:c r="P108" s="32" t="str">
        <x:v>Backend</x:v>
      </x:c>
      <x:c r="Q108" s="32" t="str">
        <x:v>Not Started</x:v>
      </x:c>
      <x:c r="R108" s="32" t="str">
        <x:f>"W"&amp;INT((E108-DATE(2026,10,5))/7)+1</x:f>
        <x:v>W12</x:v>
      </x:c>
      <x:c r="S108" s="30" t="str">
        <x:v>H — Integration &amp; Production &gt; H1 — Full E2E &gt; Student E2E flow</x:v>
      </x:c>
      <x:c r="T108" s="30" t="str">
        <x:v>List = Macro Phase; Card = Work Package; Checklist = Task</x:v>
      </x:c>
    </x:row>
    <x:row r="109" ht="42" customHeight="1">
      <x:c r="A109" s="30" t="str">
        <x:v>H1.03</x:v>
      </x:c>
      <x:c r="B109" s="30" t="str">
        <x:v>H — Integration &amp; Production</x:v>
      </x:c>
      <x:c r="C109" s="30" t="str">
        <x:v>H1 — Full E2E</x:v>
      </x:c>
      <x:c r="D109" s="30" t="str">
        <x:v>Admin E2E flow</x:v>
      </x:c>
      <x:c r="E109" s="31" t="n">
        <x:v>46381</x:v>
      </x:c>
      <x:c r="F109" s="31" t="n">
        <x:v>46381</x:v>
      </x:c>
      <x:c r="G109" s="32" t="n">
        <x:f>F109-E109+1</x:f>
        <x:v>1</x:v>
      </x:c>
      <x:c r="H109" s="30" t="str">
        <x:v>Chạy luồng Admin: course/content → video upload → pipeline → transcript edit → quiz → notification → reports/settings</x:v>
      </x:c>
      <x:c r="I109" s="30" t="str">
        <x:v>Verify</x:v>
      </x:c>
      <x:c r="J109" s="30" t="str">
        <x:v>Luồng Admin chạy xuyên suốt trên staging</x:v>
      </x:c>
      <x:c r="K109" s="30" t="str">
        <x:v>08 §2, §6, §9–12; 10 §7</x:v>
      </x:c>
      <x:c r="L109" s="30" t="str">
        <x:v>FE + Backend cùng chạy E2E</x:v>
      </x:c>
      <x:c r="M109" s="30" t="str"/>
      <x:c r="N109" s="30" t="str">
        <x:v>H1.02</x:v>
      </x:c>
      <x:c r="O109" s="32" t="str">
        <x:v>P0</x:v>
      </x:c>
      <x:c r="P109" s="32" t="str">
        <x:v>Backend</x:v>
      </x:c>
      <x:c r="Q109" s="32" t="str">
        <x:v>Not Started</x:v>
      </x:c>
      <x:c r="R109" s="32" t="str">
        <x:f>"W"&amp;INT((E109-DATE(2026,10,5))/7)+1</x:f>
        <x:v>W12</x:v>
      </x:c>
      <x:c r="S109" s="30" t="str">
        <x:v>H — Integration &amp; Production &gt; H1 — Full E2E &gt; Admin E2E flow</x:v>
      </x:c>
      <x:c r="T109" s="30" t="str">
        <x:v>List = Macro Phase; Card = Work Package; Checklist = Task</x:v>
      </x:c>
    </x:row>
    <x:row r="110" ht="42" customHeight="1">
      <x:c r="A110" s="30" t="str">
        <x:v>H1.04</x:v>
      </x:c>
      <x:c r="B110" s="30" t="str">
        <x:v>H — Integration &amp; Production</x:v>
      </x:c>
      <x:c r="C110" s="30" t="str">
        <x:v>H1 — AI/video edge cases</x:v>
      </x:c>
      <x:c r="D110" s="30" t="str">
        <x:v>Video pipeline resilience</x:v>
      </x:c>
      <x:c r="E110" s="31" t="n">
        <x:v>46382</x:v>
      </x:c>
      <x:c r="F110" s="31" t="n">
        <x:v>46382</x:v>
      </x:c>
      <x:c r="G110" s="32" t="n">
        <x:f>F110-E110+1</x:f>
        <x:v>1</x:v>
      </x:c>
      <x:c r="H110" s="30" t="str">
        <x:v>Kiểm thử upload gián đoạn, retry, worker chết, lease timeout, duplicate job, HLS rerun và cleanup file tạm</x:v>
      </x:c>
      <x:c r="I110" s="30" t="str">
        <x:v>Verify</x:v>
      </x:c>
      <x:c r="J110" s="30" t="str">
        <x:v>Pipeline chịu được các lỗi chính theo kiến trúc</x:v>
      </x:c>
      <x:c r="K110" s="30" t="str">
        <x:v>10 §8.2.1; 11 §11.1</x:v>
      </x:c>
      <x:c r="L110" s="30" t="str">
        <x:v>FE chỉ cần xác nhận trạng thái hiển thị đúng</x:v>
      </x:c>
      <x:c r="M110" s="30" t="str"/>
      <x:c r="N110" s="30" t="str">
        <x:v>H1.03</x:v>
      </x:c>
      <x:c r="O110" s="32" t="str">
        <x:v>P0</x:v>
      </x:c>
      <x:c r="P110" s="32" t="str">
        <x:v>Backend</x:v>
      </x:c>
      <x:c r="Q110" s="32" t="str">
        <x:v>Not Started</x:v>
      </x:c>
      <x:c r="R110" s="32" t="str">
        <x:f>"W"&amp;INT((E110-DATE(2026,10,5))/7)+1</x:f>
        <x:v>W12</x:v>
      </x:c>
      <x:c r="S110" s="30" t="str">
        <x:v>H — Integration &amp; Production &gt; H1 — AI/video edge cases &gt; Video pipeline resilience</x:v>
      </x:c>
      <x:c r="T110" s="30" t="str">
        <x:v>List = Macro Phase; Card = Work Package; Checklist = Task</x:v>
      </x:c>
    </x:row>
    <x:row r="111" ht="42" customHeight="1">
      <x:c r="A111" s="30" t="str">
        <x:v>H1.05</x:v>
      </x:c>
      <x:c r="B111" s="30" t="str">
        <x:v>H — Integration &amp; Production</x:v>
      </x:c>
      <x:c r="C111" s="30" t="str">
        <x:v>H1 — AI/video edge cases</x:v>
      </x:c>
      <x:c r="D111" s="30" t="str">
        <x:v>AI edge cases</x:v>
      </x:c>
      <x:c r="E111" s="31" t="n">
        <x:v>46382</x:v>
      </x:c>
      <x:c r="F111" s="31" t="n">
        <x:v>46383</x:v>
      </x:c>
      <x:c r="G111" s="32" t="n">
        <x:f>F111-E111+1</x:f>
        <x:v>2</x:v>
      </x:c>
      <x:c r="H111" s="30" t="str">
        <x:v>Kiểm thử no-match, out-of-scope, quota, provider timeout/fallback, citation và version mismatch</x:v>
      </x:c>
      <x:c r="I111" s="30" t="str">
        <x:v>Verify</x:v>
      </x:c>
      <x:c r="J111" s="30" t="str">
        <x:v>AI xử lý đúng các trường hợp lỗi chính</x:v>
      </x:c>
      <x:c r="K111" s="30" t="str">
        <x:v>08 §4–5; 11 §8–11</x:v>
      </x:c>
      <x:c r="L111" s="30" t="str">
        <x:v>FE regression AI</x:v>
      </x:c>
      <x:c r="M111" s="30" t="str"/>
      <x:c r="N111" s="30" t="str">
        <x:v>H1.02; E4.02</x:v>
      </x:c>
      <x:c r="O111" s="32" t="str">
        <x:v>P0</x:v>
      </x:c>
      <x:c r="P111" s="32" t="str">
        <x:v>Backend</x:v>
      </x:c>
      <x:c r="Q111" s="32" t="str">
        <x:v>Not Started</x:v>
      </x:c>
      <x:c r="R111" s="32" t="str">
        <x:f>"W"&amp;INT((E111-DATE(2026,10,5))/7)+1</x:f>
        <x:v>W12</x:v>
      </x:c>
      <x:c r="S111" s="30" t="str">
        <x:v>H — Integration &amp; Production &gt; H1 — AI/video edge cases &gt; AI edge cases</x:v>
      </x:c>
      <x:c r="T111" s="30" t="str">
        <x:v>List = Macro Phase; Card = Work Package; Checklist = Task</x:v>
      </x:c>
    </x:row>
    <x:row r="112" ht="42" customHeight="1">
      <x:c r="A112" s="30" t="str">
        <x:v>H2.01</x:v>
      </x:c>
      <x:c r="B112" s="30" t="str">
        <x:v>H — Integration &amp; Production</x:v>
      </x:c>
      <x:c r="C112" s="30" t="str">
        <x:v>H2 — Security &amp; reliability</x:v>
      </x:c>
      <x:c r="D112" s="30" t="str">
        <x:v>Security verification</x:v>
      </x:c>
      <x:c r="E112" s="31" t="n">
        <x:v>46383</x:v>
      </x:c>
      <x:c r="F112" s="31" t="n">
        <x:v>46383</x:v>
      </x:c>
      <x:c r="G112" s="32" t="n">
        <x:f>F112-E112+1</x:f>
        <x:v>1</x:v>
      </x:c>
      <x:c r="H112" s="30" t="str">
        <x:v>Kiểm tra auth/role/enrollment guard, secret exposure, file validation và các endpoint public/private</x:v>
      </x:c>
      <x:c r="I112" s="30" t="str">
        <x:v>Verify</x:v>
      </x:c>
      <x:c r="J112" s="30" t="str">
        <x:v>Không còn blocker bảo mật ở mức MVP</x:v>
      </x:c>
      <x:c r="K112" s="30" t="str">
        <x:v>08 permission matrix; 10 §8.1, §8.6</x:v>
      </x:c>
      <x:c r="L112" s="30" t="str">
        <x:v>FE regression các quyền chính</x:v>
      </x:c>
      <x:c r="M112" s="30" t="str"/>
      <x:c r="N112" s="30" t="str">
        <x:v>H1.03</x:v>
      </x:c>
      <x:c r="O112" s="32" t="str">
        <x:v>P0</x:v>
      </x:c>
      <x:c r="P112" s="32" t="str">
        <x:v>Backend</x:v>
      </x:c>
      <x:c r="Q112" s="32" t="str">
        <x:v>Not Started</x:v>
      </x:c>
      <x:c r="R112" s="32" t="str">
        <x:f>"W"&amp;INT((E112-DATE(2026,10,5))/7)+1</x:f>
        <x:v>W12</x:v>
      </x:c>
      <x:c r="S112" s="30" t="str">
        <x:v>H — Integration &amp; Production &gt; H2 — Security &amp; reliability &gt; Security verification</x:v>
      </x:c>
      <x:c r="T112" s="30" t="str">
        <x:v>List = Macro Phase; Card = Work Package; Checklist = Task</x:v>
      </x:c>
    </x:row>
    <x:row r="113" ht="42" customHeight="1">
      <x:c r="A113" s="30" t="str">
        <x:v>H2.02</x:v>
      </x:c>
      <x:c r="B113" s="30" t="str">
        <x:v>H — Integration &amp; Production</x:v>
      </x:c>
      <x:c r="C113" s="30" t="str">
        <x:v>H2 — Security &amp; reliability</x:v>
      </x:c>
      <x:c r="D113" s="30" t="str">
        <x:v>Error/observability verification</x:v>
      </x:c>
      <x:c r="E113" s="31" t="n">
        <x:v>46384</x:v>
      </x:c>
      <x:c r="F113" s="31" t="n">
        <x:v>46384</x:v>
      </x:c>
      <x:c r="G113" s="32" t="n">
        <x:f>F113-E113+1</x:f>
        <x:v>1</x:v>
      </x:c>
      <x:c r="H113" s="30" t="str">
        <x:v>Kiểm tra error codes, JSON logging, request ID, provider errors và trạng thái worker</x:v>
      </x:c>
      <x:c r="I113" s="30" t="str">
        <x:v>Verify</x:v>
      </x:c>
      <x:c r="J113" s="30" t="str">
        <x:v>Có thể truy vết lỗi production cơ bản</x:v>
      </x:c>
      <x:c r="K113" s="30" t="str">
        <x:v>08 Appendix A–B; 10 §8.5</x:v>
      </x:c>
      <x:c r="L113" s="30" t="str">
        <x:v>FE regression error messages</x:v>
      </x:c>
      <x:c r="M113" s="30" t="str"/>
      <x:c r="N113" s="30" t="str">
        <x:v>H2.01</x:v>
      </x:c>
      <x:c r="O113" s="32" t="str">
        <x:v>P0</x:v>
      </x:c>
      <x:c r="P113" s="32" t="str">
        <x:v>Backend</x:v>
      </x:c>
      <x:c r="Q113" s="32" t="str">
        <x:v>Not Started</x:v>
      </x:c>
      <x:c r="R113" s="32" t="str">
        <x:f>"W"&amp;INT((E113-DATE(2026,10,5))/7)+1</x:f>
        <x:v>W13</x:v>
      </x:c>
      <x:c r="S113" s="30" t="str">
        <x:v>H — Integration &amp; Production &gt; H2 — Security &amp; reliability &gt; Error/observability verification</x:v>
      </x:c>
      <x:c r="T113" s="30" t="str">
        <x:v>List = Macro Phase; Card = Work Package; Checklist = Task</x:v>
      </x:c>
    </x:row>
    <x:row r="114" ht="42" customHeight="1">
      <x:c r="A114" s="30" t="str">
        <x:v>H2.03</x:v>
      </x:c>
      <x:c r="B114" s="30" t="str">
        <x:v>H — Integration &amp; Production</x:v>
      </x:c>
      <x:c r="C114" s="30" t="str">
        <x:v>H2 — Security &amp; reliability</x:v>
      </x:c>
      <x:c r="D114" s="30" t="str">
        <x:v>Performance sanity check</x:v>
      </x:c>
      <x:c r="E114" s="31" t="n">
        <x:v>46384</x:v>
      </x:c>
      <x:c r="F114" s="31" t="n">
        <x:v>46384</x:v>
      </x:c>
      <x:c r="G114" s="32" t="n">
        <x:f>F114-E114+1</x:f>
        <x:v>1</x:v>
      </x:c>
      <x:c r="H114" s="30" t="str">
        <x:v>Kiểm tra tải API cốt lõi, progress polling, pipeline polling và truy vấn retrieval ở quy mô demo</x:v>
      </x:c>
      <x:c r="I114" s="30" t="str">
        <x:v>Verify</x:v>
      </x:c>
      <x:c r="J114" s="30" t="str">
        <x:v>Không có bottleneck rõ ràng cản trở demo/MVP</x:v>
      </x:c>
      <x:c r="K114" s="30" t="str">
        <x:v>10 §8.2; 11 §8–9</x:v>
      </x:c>
      <x:c r="L114" s="30" t="str">
        <x:v>FE test UX khi polling</x:v>
      </x:c>
      <x:c r="M114" s="30" t="str"/>
      <x:c r="N114" s="30" t="str">
        <x:v>H2.02</x:v>
      </x:c>
      <x:c r="O114" s="32" t="str">
        <x:v>P1</x:v>
      </x:c>
      <x:c r="P114" s="32" t="str">
        <x:v>Backend</x:v>
      </x:c>
      <x:c r="Q114" s="32" t="str">
        <x:v>Not Started</x:v>
      </x:c>
      <x:c r="R114" s="32" t="str">
        <x:f>"W"&amp;INT((E114-DATE(2026,10,5))/7)+1</x:f>
        <x:v>W13</x:v>
      </x:c>
      <x:c r="S114" s="30" t="str">
        <x:v>H — Integration &amp; Production &gt; H2 — Security &amp; reliability &gt; Performance sanity check</x:v>
      </x:c>
      <x:c r="T114" s="30" t="str">
        <x:v>List = Macro Phase; Card = Work Package; Checklist = Task</x:v>
      </x:c>
    </x:row>
    <x:row r="115" ht="42" customHeight="1">
      <x:c r="A115" s="30" t="str">
        <x:v>H3.01</x:v>
      </x:c>
      <x:c r="B115" s="30" t="str">
        <x:v>H — Integration &amp; Production</x:v>
      </x:c>
      <x:c r="C115" s="30" t="str">
        <x:v>H3 — Production deployment</x:v>
      </x:c>
      <x:c r="D115" s="30" t="str">
        <x:v>Production readiness</x:v>
      </x:c>
      <x:c r="E115" s="31" t="n">
        <x:v>46385</x:v>
      </x:c>
      <x:c r="F115" s="31" t="n">
        <x:v>46385</x:v>
      </x:c>
      <x:c r="G115" s="32" t="n">
        <x:f>F115-E115+1</x:f>
        <x:v>1</x:v>
      </x:c>
      <x:c r="H115" s="30" t="str">
        <x:v>Chuẩn bị cấu hình production: ENV/secrets, RDS/S3, EC2 process, CloudFront, backup và các endpoint external</x:v>
      </x:c>
      <x:c r="I115" s="30" t="str">
        <x:v>Deploy</x:v>
      </x:c>
      <x:c r="J115" s="30" t="str">
        <x:v>Production environment có cấu hình hoàn chỉnh</x:v>
      </x:c>
      <x:c r="K115" s="30" t="str">
        <x:v>10 §4.1, §8.3, §8.6</x:v>
      </x:c>
      <x:c r="L115" s="30" t="str">
        <x:v>FE nhận production base URL sau smoke</x:v>
      </x:c>
      <x:c r="M115" s="30" t="str"/>
      <x:c r="N115" s="30" t="str">
        <x:v>H2.03</x:v>
      </x:c>
      <x:c r="O115" s="32" t="str">
        <x:v>P0</x:v>
      </x:c>
      <x:c r="P115" s="32" t="str">
        <x:v>Backend</x:v>
      </x:c>
      <x:c r="Q115" s="32" t="str">
        <x:v>Not Started</x:v>
      </x:c>
      <x:c r="R115" s="32" t="str">
        <x:f>"W"&amp;INT((E115-DATE(2026,10,5))/7)+1</x:f>
        <x:v>W13</x:v>
      </x:c>
      <x:c r="S115" s="30" t="str">
        <x:v>H — Integration &amp; Production &gt; H3 — Production deployment &gt; Production readiness</x:v>
      </x:c>
      <x:c r="T115" s="30" t="str">
        <x:v>List = Macro Phase; Card = Work Package; Checklist = Task</x:v>
      </x:c>
    </x:row>
    <x:row r="116" ht="42" customHeight="1">
      <x:c r="A116" s="30" t="str">
        <x:v>H3.02</x:v>
      </x:c>
      <x:c r="B116" s="30" t="str">
        <x:v>H — Integration &amp; Production</x:v>
      </x:c>
      <x:c r="C116" s="30" t="str">
        <x:v>H3 — Production deployment</x:v>
      </x:c>
      <x:c r="D116" s="30" t="str">
        <x:v>Production deploy</x:v>
      </x:c>
      <x:c r="E116" s="31" t="n">
        <x:v>46385</x:v>
      </x:c>
      <x:c r="F116" s="31" t="n">
        <x:v>46385</x:v>
      </x:c>
      <x:c r="G116" s="32" t="n">
        <x:f>F116-E116+1</x:f>
        <x:v>1</x:v>
      </x:c>
      <x:c r="H116" s="30" t="str">
        <x:v>Deploy Backend + Worker lên production EC2 và kết nối production RDS/S3/CloudFront</x:v>
      </x:c>
      <x:c r="I116" s="30" t="str">
        <x:v>Deploy</x:v>
      </x:c>
      <x:c r="J116" s="30" t="str">
        <x:v>Production system chạy được toàn bộ dịch vụ chính</x:v>
      </x:c>
      <x:c r="K116" s="30" t="str">
        <x:v>10 §4.1</x:v>
      </x:c>
      <x:c r="L116" s="30" t="str">
        <x:v>FE chuẩn bị smoke test production</x:v>
      </x:c>
      <x:c r="M116" s="30" t="str">
        <x:v>★ M14 — Production deployed</x:v>
      </x:c>
      <x:c r="N116" s="30" t="str">
        <x:v>H3.01</x:v>
      </x:c>
      <x:c r="O116" s="32" t="str">
        <x:v>P0</x:v>
      </x:c>
      <x:c r="P116" s="32" t="str">
        <x:v>Backend</x:v>
      </x:c>
      <x:c r="Q116" s="32" t="str">
        <x:v>Not Started</x:v>
      </x:c>
      <x:c r="R116" s="32" t="str">
        <x:f>"W"&amp;INT((E116-DATE(2026,10,5))/7)+1</x:f>
        <x:v>W13</x:v>
      </x:c>
      <x:c r="S116" s="30" t="str">
        <x:v>H — Integration &amp; Production &gt; H3 — Production deployment &gt; Production deploy</x:v>
      </x:c>
      <x:c r="T116" s="30" t="str">
        <x:v>List = Macro Phase; Card = Work Package; Checklist = Task</x:v>
      </x:c>
    </x:row>
    <x:row r="117" ht="42" customHeight="1">
      <x:c r="A117" s="30" t="str">
        <x:v>H3.03</x:v>
      </x:c>
      <x:c r="B117" s="30" t="str">
        <x:v>H — Integration &amp; Production</x:v>
      </x:c>
      <x:c r="C117" s="30" t="str">
        <x:v>H3 — Production validation</x:v>
      </x:c>
      <x:c r="D117" s="30" t="str">
        <x:v>Production smoke test</x:v>
      </x:c>
      <x:c r="E117" s="31" t="n">
        <x:v>46386</x:v>
      </x:c>
      <x:c r="F117" s="31" t="n">
        <x:v>46386</x:v>
      </x:c>
      <x:c r="G117" s="32" t="n">
        <x:f>F117-E117+1</x:f>
        <x:v>1</x:v>
      </x:c>
      <x:c r="H117" s="30" t="str">
        <x:v>Kiểm tra health, docs, login, course, video playback, AI, quiz và payment trên production</x:v>
      </x:c>
      <x:c r="I117" s="30" t="str">
        <x:v>Verify</x:v>
      </x:c>
      <x:c r="J117" s="30" t="str">
        <x:v>Production smoke test PASS</x:v>
      </x:c>
      <x:c r="K117" s="30" t="str">
        <x:v>08 toàn bộ nhóm API; 10 §4; 11 §2</x:v>
      </x:c>
      <x:c r="L117" s="30" t="str">
        <x:v>FE production smoke test</x:v>
      </x:c>
      <x:c r="M117" s="30" t="str"/>
      <x:c r="N117" s="30" t="str">
        <x:v>H3.02</x:v>
      </x:c>
      <x:c r="O117" s="32" t="str">
        <x:v>P0</x:v>
      </x:c>
      <x:c r="P117" s="32" t="str">
        <x:v>Backend</x:v>
      </x:c>
      <x:c r="Q117" s="32" t="str">
        <x:v>Not Started</x:v>
      </x:c>
      <x:c r="R117" s="32" t="str">
        <x:f>"W"&amp;INT((E117-DATE(2026,10,5))/7)+1</x:f>
        <x:v>W13</x:v>
      </x:c>
      <x:c r="S117" s="30" t="str">
        <x:v>H — Integration &amp; Production &gt; H3 — Production validation &gt; Production smoke test</x:v>
      </x:c>
      <x:c r="T117" s="30" t="str">
        <x:v>List = Macro Phase; Card = Work Package; Checklist = Task</x:v>
      </x:c>
    </x:row>
    <x:row r="118" ht="42" customHeight="1">
      <x:c r="A118" s="30" t="str">
        <x:v>H3.04</x:v>
      </x:c>
      <x:c r="B118" s="30" t="str">
        <x:v>H — Integration &amp; Production</x:v>
      </x:c>
      <x:c r="C118" s="30" t="str">
        <x:v>H3 — Production validation</x:v>
      </x:c>
      <x:c r="D118" s="30" t="str">
        <x:v>Final bug fixing</x:v>
      </x:c>
      <x:c r="E118" s="31" t="n">
        <x:v>46386</x:v>
      </x:c>
      <x:c r="F118" s="31" t="n">
        <x:v>46386</x:v>
      </x:c>
      <x:c r="G118" s="32" t="n">
        <x:f>F118-E118+1</x:f>
        <x:v>1</x:v>
      </x:c>
      <x:c r="H118" s="30" t="str">
        <x:v>Sửa các lỗi blocker/critical cuối cùng từ smoke test và regression FE</x:v>
      </x:c>
      <x:c r="I118" s="30" t="str">
        <x:v>Backend</x:v>
      </x:c>
      <x:c r="J118" s="30" t="str">
        <x:v>Không còn lỗi blocker/critical ảnh hưởng demo</x:v>
      </x:c>
      <x:c r="K118" s="30" t="str">
        <x:v>Toàn bộ tài liệu 08–11</x:v>
      </x:c>
      <x:c r="L118" s="30" t="str">
        <x:v>FE re-test sau fix</x:v>
      </x:c>
      <x:c r="M118" s="30" t="str"/>
      <x:c r="N118" s="30" t="str">
        <x:v>H3.03</x:v>
      </x:c>
      <x:c r="O118" s="32" t="str">
        <x:v>P0</x:v>
      </x:c>
      <x:c r="P118" s="32" t="str">
        <x:v>Backend</x:v>
      </x:c>
      <x:c r="Q118" s="32" t="str">
        <x:v>Not Started</x:v>
      </x:c>
      <x:c r="R118" s="32" t="str">
        <x:f>"W"&amp;INT((E118-DATE(2026,10,5))/7)+1</x:f>
        <x:v>W13</x:v>
      </x:c>
      <x:c r="S118" s="30" t="str">
        <x:v>H — Integration &amp; Production &gt; H3 — Production validation &gt; Final bug fixing</x:v>
      </x:c>
      <x:c r="T118" s="30" t="str">
        <x:v>List = Macro Phase; Card = Work Package; Checklist = Task</x:v>
      </x:c>
    </x:row>
    <x:row r="119" ht="42" customHeight="1">
      <x:c r="A119" s="30" t="str">
        <x:v>H4.01</x:v>
      </x:c>
      <x:c r="B119" s="30" t="str">
        <x:v>H — Integration &amp; Production</x:v>
      </x:c>
      <x:c r="C119" s="30" t="str">
        <x:v>H4 — Final acceptance</x:v>
      </x:c>
      <x:c r="D119" s="30" t="str">
        <x:v>Final E2E acceptance</x:v>
      </x:c>
      <x:c r="E119" s="31" t="n">
        <x:v>46387</x:v>
      </x:c>
      <x:c r="F119" s="31" t="n">
        <x:v>46387</x:v>
      </x:c>
      <x:c r="G119" s="32" t="n">
        <x:f>F119-E119+1</x:f>
        <x:v>1</x:v>
      </x:c>
      <x:c r="H119" s="30" t="str">
        <x:v>Chạy lại checklist E2E cuối cùng và xác nhận tất cả milestone chức năng đã hoàn tất</x:v>
      </x:c>
      <x:c r="I119" s="30" t="str">
        <x:v>Verify</x:v>
      </x:c>
      <x:c r="J119" s="30" t="str">
        <x:v>Toàn bộ MVP được xác nhận PASS</x:v>
      </x:c>
      <x:c r="K119" s="30" t="str">
        <x:v>08–11</x:v>
      </x:c>
      <x:c r="L119" s="30" t="str">
        <x:v>FE + Backend final acceptance</x:v>
      </x:c>
      <x:c r="M119" s="30" t="str">
        <x:v>★ M15 — Product MVP complete</x:v>
      </x:c>
      <x:c r="N119" s="30" t="str">
        <x:v>H3.04</x:v>
      </x:c>
      <x:c r="O119" s="32" t="str">
        <x:v>P0</x:v>
      </x:c>
      <x:c r="P119" s="32" t="str">
        <x:v>Backend</x:v>
      </x:c>
      <x:c r="Q119" s="32" t="str">
        <x:v>Not Started</x:v>
      </x:c>
      <x:c r="R119" s="32" t="str">
        <x:f>"W"&amp;INT((E119-DATE(2026,10,5))/7)+1</x:f>
        <x:v>W13</x:v>
      </x:c>
      <x:c r="S119" s="30" t="str">
        <x:v>H — Integration &amp; Production &gt; H4 — Final acceptance &gt; Final E2E acceptance</x:v>
      </x:c>
      <x:c r="T119" s="30" t="str">
        <x:v>List = Macro Phase; Card = Work Package; Checklist = Task</x:v>
      </x:c>
    </x:row>
    <x:row r="120" ht="42" customHeight="1">
      <x:c r="A120" s="30" t="str">
        <x:v>H4.02</x:v>
      </x:c>
      <x:c r="B120" s="30" t="str">
        <x:v>H — Integration &amp; Production</x:v>
      </x:c>
      <x:c r="C120" s="30" t="str">
        <x:v>H4 — Final acceptance</x:v>
      </x:c>
      <x:c r="D120" s="30" t="str">
        <x:v>Backup &amp; final handover</x:v>
      </x:c>
      <x:c r="E120" s="31" t="n">
        <x:v>46387</x:v>
      </x:c>
      <x:c r="F120" s="31" t="n">
        <x:v>46387</x:v>
      </x:c>
      <x:c r="G120" s="32" t="n">
        <x:f>F120-E120+1</x:f>
        <x:v>1</x:v>
      </x:c>
      <x:c r="H120" s="30" t="str">
        <x:v>Chụp/ghi lại cấu hình cần thiết, backup dữ liệu/DB theo khả năng môi trường và bàn giao thông tin vận hành</x:v>
      </x:c>
      <x:c r="I120" s="30" t="str">
        <x:v>Verify</x:v>
      </x:c>
      <x:c r="J120" s="30" t="str">
        <x:v>Có trạng thái vận hành/handover để bảo vệ kết quả cuối kỳ</x:v>
      </x:c>
      <x:c r="K120" s="30" t="str">
        <x:v>09 §9, §12; 10 §8.6</x:v>
      </x:c>
      <x:c r="L120" s="30" t="str">
        <x:v>FE nhận môi trường final</x:v>
      </x:c>
      <x:c r="M120" s="30" t="str">
        <x:v>★ M16 — Handover complete</x:v>
      </x:c>
      <x:c r="N120" s="30" t="str">
        <x:v>H4.01</x:v>
      </x:c>
      <x:c r="O120" s="32" t="str">
        <x:v>P0</x:v>
      </x:c>
      <x:c r="P120" s="32" t="str">
        <x:v>Backend</x:v>
      </x:c>
      <x:c r="Q120" s="32" t="str">
        <x:v>Not Started</x:v>
      </x:c>
      <x:c r="R120" s="32" t="str">
        <x:f>"W"&amp;INT((E120-DATE(2026,10,5))/7)+1</x:f>
        <x:v>W13</x:v>
      </x:c>
      <x:c r="S120" s="30" t="str">
        <x:v>H — Integration &amp; Production &gt; H4 — Final acceptance &gt; Backup &amp; final handover</x:v>
      </x:c>
      <x:c r="T120" s="30" t="str">
        <x:v>List = Macro Phase; Card = Work Package; Checklist = Task</x:v>
      </x:c>
    </x:row>
  </x:sheetData>
  <x:conditionalFormatting sqref="Q2:Q120">
    <x:cfRule type="expression" dxfId="0" priority="1">
      <x:formula>Q2="Done"</x:formula>
    </x:cfRule>
    <x:cfRule type="expression" dxfId="1" priority="2">
      <x:formula>Q2="In Progress"</x:formula>
    </x:cfRule>
    <x:cfRule type="expression" dxfId="2" priority="3">
      <x:formula>Q2="Blocked"</x:formula>
    </x:cfRule>
  </x:conditionalFormatting>
  <x:conditionalFormatting sqref="M2:M120">
    <x:cfRule type="expression" dxfId="3" priority="4">
      <x:formula>M2&lt;&gt;""</x:formula>
    </x:cfRule>
  </x:conditionalFormatting>
  <x:conditionalFormatting sqref="O2:O120">
    <x:cfRule type="expression" dxfId="4" priority="5">
      <x:formula>O2="P0"</x:formula>
    </x:cfRule>
  </x:conditionalFormatting>
  <x:dataValidations count="3">
    <x:dataValidation type="list" sqref="Q2:Q120">
      <x:formula1>"Not Started,In Progress,Blocked,Done"</x:formula1>
    </x:dataValidation>
    <x:dataValidation type="list" sqref="O2:O120">
      <x:formula1>"P0,P1,P2"</x:formula1>
    </x:dataValidation>
    <x:dataValidation type="list" sqref="I2:I120">
      <x:formula1>"Setup,Data,Backend,Deploy,Verify"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cb4e41bb5940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38" t="str">
        <x:v>PLAN MASTER — HƯỚNG DẪN SỬ DỤNG</x:v>
      </x:c>
      <x:c r="B1"/>
    </x:row>
    <x:row r="2" ht="34" customHeight="1">
      <x:c r="A2" s="45" t="str">
        <x:v>Mục đích</x:v>
      </x:c>
      <x:c r="B2" s="18" t="str">
        <x:v>Đây là lịch thi công Backend từ 05/10/2026 đến 31/12/2026. Mỗi dòng là một nhiệm vụ thực thi có thể đánh dấu DONE; không phải tài liệu mô tả logic code.</x:v>
      </x:c>
    </x:row>
    <x:row r="3" ht="34" customHeight="1">
      <x:c r="A3" s="45" t="str">
        <x:v>Nguồn baseline</x:v>
      </x:c>
      <x:c r="B3" s="18" t="str">
        <x:v>Kế hoạch bám theo các tài liệu 08_FE_BE_Data_Contract, 09_BE_Database_Schema, 10_BE_Architecture và 11_BE_AI_Pipeline; các dịch vụ AWS/AI/PayOS/email/video/data preparation được coi là nhiệm vụ thực thi bắt buộc khi cần để sản phẩm chạy thật.</x:v>
      </x:c>
    </x:row>
    <x:row r="4" ht="34" customHeight="1">
      <x:c r="A4" s="45" t="str">
        <x:v>Hierarchy</x:v>
      </x:c>
      <x:c r="B4" s="18" t="str">
        <x:v>Macro Phase → Phase → Work Package → Backend Task. Các cột phân cấp được lặp lại trên từng dòng để AI/Trello không phải suy ra hierarchy từ merged cells/màu sắc.</x:v>
      </x:c>
    </x:row>
    <x:row r="5" ht="34" customHeight="1">
      <x:c r="A5" s="45" t="str">
        <x:v>Frontend</x:v>
      </x:c>
      <x:c r="B5" s="18" t="str">
        <x:v>Không tạo task Frontend riêng. Cột FE Alignment chỉ là checkpoint để Backend bàn giao staging cho FE tích hợp/kiểm tra đúng lúc; sau checkpoint, Backend tiếp nhận và sửa lỗi tích hợp nếu có.</x:v>
      </x:c>
    </x:row>
    <x:row r="6" ht="34" customHeight="1">
      <x:c r="A6" s="45" t="str">
        <x:v>Milestone</x:v>
      </x:c>
      <x:c r="B6" s="18" t="str">
        <x:v>Mỗi milestone là cổng nghiệm thu sản phẩm/phân nhóm. Chỉ coi nhóm hoàn thành khi Backend đã deploy/verify và FE checkpoint đã PASS ở các nhóm có tích hợp.</x:v>
      </x:c>
    </x:row>
    <x:row r="7" ht="34" customHeight="1">
      <x:c r="A7" s="45" t="str">
        <x:v>Dependency</x:v>
      </x:c>
      <x:c r="B7" s="18" t="str">
        <x:v>Dependency IDs chỉ rõ nhiệm vụ nào phải hoàn thành trước. Không nên bỏ qua dependency nếu chưa có lý do rõ ràng.</x:v>
      </x:c>
    </x:row>
    <x:row r="8" ht="34" customHeight="1">
      <x:c r="A8" s="45" t="str">
        <x:v>Trello mapping</x:v>
      </x:c>
      <x:c r="B8" s="18" t="str">
        <x:v>Khuyến nghị cho AI/Trello: Macro Phase → List; Work Package → Card; Backend Task → Checklist item; End Date → due date; Priority/Task Type → labels; Milestone → milestone marker/checklist hoặc card riêng tùy cách dựng board.</x:v>
      </x:c>
    </x:row>
    <x:row r="9" ht="34" customHeight="1">
      <x:c r="A9" s="45" t="str">
        <x:v>Task types</x:v>
      </x:c>
      <x:c r="B9" s="18" t="str">
        <x:v>Setup = tạo tài khoản/cấu hình môi trường/dịch vụ; Data = chuẩn bị dữ liệu/video; Backend = hoàn thành năng lực Backend theo contract; Deploy = đưa nhóm lên staging/production; Verify = kiểm tra/acceptance/fix.</x:v>
      </x:c>
    </x:row>
    <x:row r="10" ht="34" customHeight="1">
      <x:c r="A10" s="45" t="str">
        <x:v>Status</x:v>
      </x:c>
      <x:c r="B10" s="18" t="str">
        <x:v>Not Started / In Progress / Blocked / Done. Trạng thái ban đầu của toàn bộ kế hoạch là Not Started.</x:v>
      </x:c>
    </x:row>
    <x:row r="11" ht="34" customHeight="1">
      <x:c r="A11" s="45" t="str">
        <x:v>Phạm vi không đưa vào MVP</x:v>
      </x:c>
      <x:c r="B11" s="18" t="str">
        <x:v>Theo tài liệu 09/10, các hạng mục như đánh giá sao, slide bài giảng, analytics nâng cao, monitoring nâng cao và STT tự triển khai nằm ngoài phạm vi Đồ án 1 / giai đoạn 2; Plan Master không lập task triển khai chúng.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52" t="str">
        <x:v>BACKEND PLAN — TỔNG QUAN TIẾN ĐỘ</x:v>
      </x:c>
      <x:c r="B1" s="52"/>
      <x:c r="C1" s="52"/>
      <x:c r="D1" s="52"/>
      <x:c r="E1" s="52"/>
      <x:c r="F1" s="52"/>
    </x:row>
    <x:row r="3">
      <x:c r="A3" s="60" t="str">
        <x:v>Ngày bắt đầu</x:v>
      </x:c>
      <x:c r="B3" s="15" t="n">
        <x:v>46300</x:v>
      </x:c>
    </x:row>
    <x:row r="4">
      <x:c r="A4" s="60" t="str">
        <x:v>Deadline</x:v>
      </x:c>
      <x:c r="B4" s="15" t="n">
        <x:v>46387</x:v>
      </x:c>
    </x:row>
    <x:row r="5">
      <x:c r="A5" s="60" t="str">
        <x:v>Tổng số task</x:v>
      </x:c>
      <x:c r="B5" s="14" t="n">
        <x:f>COUNTA(PLAN_MASTER!$A$2:$A$120)</x:f>
        <x:v>119</x:v>
      </x:c>
    </x:row>
    <x:row r="6">
      <x:c r="A6" s="60" t="str">
        <x:v>Milestone</x:v>
      </x:c>
      <x:c r="B6" s="14" t="n">
        <x:v>16</x:v>
      </x:c>
    </x:row>
    <x:row r="7">
      <x:c r="A7" s="60" t="str">
        <x:v>FE checkpoint có kế hoạch</x:v>
      </x:c>
      <x:c r="B7" s="14" t="n">
        <x:v>48</x:v>
      </x:c>
    </x:row>
    <x:row r="8">
      <x:c r="A8" s="60" t="str">
        <x:v>Tỷ lệ hoàn thành</x:v>
      </x:c>
      <x:c r="B8" s="61" t="n">
        <x:f>COUNTIF(PLAN_MASTER!$Q$2:$Q$120,"Done")/COUNTA(PLAN_MASTER!$A$2:$A$120)</x:f>
        <x:v>0</x:v>
      </x:c>
    </x:row>
    <x:row r="10" ht="28" customHeight="1">
      <x:c r="A10" s="67" t="str">
        <x:v>Toàn bộ dòng trong PLAN_MASTER là nhiệm vụ của Backend; FE Alignment chỉ là checkpoint để FE tích hợp/kiểm tra đúng thời điểm.</x:v>
      </x:c>
    </x:row>
    <x:row r="11">
      <x:c r="A11" s="72" t="str">
        <x:v>Macro Phase</x:v>
      </x:c>
      <x:c r="B11" s="72" t="str">
        <x:v>Start</x:v>
      </x:c>
      <x:c r="C11" s="72" t="str">
        <x:v>End</x:v>
      </x:c>
      <x:c r="D11" s="72" t="str">
        <x:v>Task Count</x:v>
      </x:c>
      <x:c r="E11" s="72" t="str">
        <x:v>Milestone Count</x:v>
      </x:c>
    </x:row>
    <x:row r="12">
      <x:c r="A12" s="18" t="str">
        <x:v>A — Foundation &amp; Readiness</x:v>
      </x:c>
      <x:c r="B12" s="19" t="n">
        <x:v>46300</x:v>
      </x:c>
      <x:c r="C12" s="19" t="n">
        <x:v>46308</x:v>
      </x:c>
      <x:c r="D12" s="18" t="n">
        <x:f>COUNTIF(PLAN_MASTER!$B$2:$B$120,A12)</x:f>
        <x:v>22</x:v>
      </x:c>
      <x:c r="E12" s="18" t="n">
        <x:v>2</x:v>
      </x:c>
    </x:row>
    <x:row r="13">
      <x:c r="A13" s="18" t="str">
        <x:v>B — Core Backend &amp; Learning</x:v>
      </x:c>
      <x:c r="B13" s="19" t="n">
        <x:v>46309</x:v>
      </x:c>
      <x:c r="C13" s="19" t="n">
        <x:v>46328</x:v>
      </x:c>
      <x:c r="D13" s="18" t="n">
        <x:f>COUNTIF(PLAN_MASTER!$B$2:$B$120,A13)</x:f>
        <x:v>23</x:v>
      </x:c>
      <x:c r="E13" s="18" t="n">
        <x:v>4</x:v>
      </x:c>
    </x:row>
    <x:row r="14">
      <x:c r="A14" s="18" t="str">
        <x:v>C — Video Delivery</x:v>
      </x:c>
      <x:c r="B14" s="19" t="n">
        <x:v>46329</x:v>
      </x:c>
      <x:c r="C14" s="19" t="n">
        <x:v>46342</x:v>
      </x:c>
      <x:c r="D14" s="18" t="n">
        <x:f>COUNTIF(PLAN_MASTER!$B$2:$B$120,A14)</x:f>
        <x:v>14</x:v>
      </x:c>
      <x:c r="E14" s="18" t="n">
        <x:v>2</x:v>
      </x:c>
    </x:row>
    <x:row r="15">
      <x:c r="A15" s="18" t="str">
        <x:v>D — Transcript &amp; Knowledge</x:v>
      </x:c>
      <x:c r="B15" s="19" t="n">
        <x:v>46343</x:v>
      </x:c>
      <x:c r="C15" s="19" t="n">
        <x:v>46356</x:v>
      </x:c>
      <x:c r="D15" s="18" t="n">
        <x:f>COUNTIF(PLAN_MASTER!$B$2:$B$120,A15)</x:f>
        <x:v>13</x:v>
      </x:c>
      <x:c r="E15" s="18" t="n">
        <x:v>1</x:v>
      </x:c>
    </x:row>
    <x:row r="16">
      <x:c r="A16" s="18" t="str">
        <x:v>E — AI Assistant</x:v>
      </x:c>
      <x:c r="B16" s="19" t="n">
        <x:v>46357</x:v>
      </x:c>
      <x:c r="C16" s="19" t="n">
        <x:v>46366</x:v>
      </x:c>
      <x:c r="D16" s="18" t="n">
        <x:f>COUNTIF(PLAN_MASTER!$B$2:$B$120,A16)</x:f>
        <x:v>14</x:v>
      </x:c>
      <x:c r="E16" s="18" t="n">
        <x:v>2</x:v>
      </x:c>
    </x:row>
    <x:row r="17">
      <x:c r="A17" s="18" t="str">
        <x:v>F — Assessment &amp; Product Ops</x:v>
      </x:c>
      <x:c r="B17" s="19" t="n">
        <x:v>46367</x:v>
      </x:c>
      <x:c r="C17" s="19" t="n">
        <x:v>46373</x:v>
      </x:c>
      <x:c r="D17" s="18" t="n">
        <x:f>COUNTIF(PLAN_MASTER!$B$2:$B$120,A17)</x:f>
        <x:v>8</x:v>
      </x:c>
      <x:c r="E17" s="18" t="n">
        <x:v>0</x:v>
      </x:c>
    </x:row>
    <x:row r="18">
      <x:c r="A18" s="18" t="str">
        <x:v>G — Payment &amp; Admin</x:v>
      </x:c>
      <x:c r="B18" s="19" t="n">
        <x:v>46374</x:v>
      </x:c>
      <x:c r="C18" s="19" t="n">
        <x:v>46378</x:v>
      </x:c>
      <x:c r="D18" s="18" t="n">
        <x:f>COUNTIF(PLAN_MASTER!$B$2:$B$120,A18)</x:f>
        <x:v>11</x:v>
      </x:c>
      <x:c r="E18" s="18" t="n">
        <x:v>2</x:v>
      </x:c>
    </x:row>
    <x:row r="19">
      <x:c r="A19" s="18" t="str">
        <x:v>H — Integration &amp; Production</x:v>
      </x:c>
      <x:c r="B19" s="19" t="n">
        <x:v>46379</x:v>
      </x:c>
      <x:c r="C19" s="19" t="n">
        <x:v>46387</x:v>
      </x:c>
      <x:c r="D19" s="18" t="n">
        <x:f>COUNTIF(PLAN_MASTER!$B$2:$B$120,A19)</x:f>
        <x:v>14</x:v>
      </x:c>
      <x:c r="E19" s="18" t="n">
        <x:v>3</x:v>
      </x:c>
    </x:row>
    <x:row r="22">
      <x:c r="A22" s="72" t="str">
        <x:v>Status</x:v>
      </x:c>
      <x:c r="B22" s="72" t="str">
        <x:v>Task Count</x:v>
      </x:c>
    </x:row>
    <x:row r="23">
      <x:c r="A23" s="18" t="str">
        <x:v>Not Started</x:v>
      </x:c>
      <x:c r="B23" s="18" t="n">
        <x:f>COUNTIF(PLAN_MASTER!$Q$2:$Q$120,A23)</x:f>
        <x:v>119</x:v>
      </x:c>
    </x:row>
    <x:row r="24">
      <x:c r="A24" s="18" t="str">
        <x:v>In Progress</x:v>
      </x:c>
      <x:c r="B24" s="18" t="n">
        <x:f>COUNTIF(PLAN_MASTER!$Q$2:$Q$120,A24)</x:f>
        <x:v>0</x:v>
      </x:c>
    </x:row>
    <x:row r="25">
      <x:c r="A25" s="18" t="str">
        <x:v>Blocked</x:v>
      </x:c>
      <x:c r="B25" s="18" t="n">
        <x:f>COUNTIF(PLAN_MASTER!$Q$2:$Q$120,A25)</x:f>
        <x:v>0</x:v>
      </x:c>
    </x:row>
    <x:row r="26">
      <x:c r="A26" s="18" t="str">
        <x:v>Done</x:v>
      </x:c>
      <x:c r="B26" s="18" t="n">
        <x:f>COUNTIF(PLAN_MASTER!$Q$2:$Q$120,A26)</x:f>
        <x:v>0</x:v>
      </x:c>
    </x:row>
  </x:sheetData>
  <x:mergeCells>
    <x:mergeCell ref="A1:F1"/>
    <x:mergeCell ref="A10:F10"/>
  </x:mergeCells>
  <x:pageMargins left="0.7" right="0.7" top="0.75" bottom="0.75" header="0.3" footer="0.3"/>
  <x:drawing xmlns:r="http://schemas.openxmlformats.org/officeDocument/2006/relationships" r:id="Rc96d17ff43374ee6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30" hidden="0" customWidth="1"/>
  </x:cols>
  <x:sheetData>
    <x:row r="1">
      <x:c r="A1" s="6" t="str">
        <x:v>Status</x:v>
      </x:c>
      <x:c r="B1" s="6" t="str">
        <x:v>Priority</x:v>
      </x:c>
      <x:c r="C1" s="6" t="str">
        <x:v>Task Type</x:v>
      </x:c>
      <x:c r="D1" s="6" t="str">
        <x:v>Notes</x:v>
      </x:c>
    </x:row>
    <x:row r="2">
      <x:c r="A2" t="str">
        <x:v>Not Started</x:v>
      </x:c>
      <x:c r="B2" t="str">
        <x:v>P0</x:v>
      </x:c>
      <x:c r="C2" t="str">
        <x:v>Setup</x:v>
      </x:c>
      <x:c r="D2" t="str"/>
    </x:row>
    <x:row r="3">
      <x:c r="A3" t="str">
        <x:v>In Progress</x:v>
      </x:c>
      <x:c r="B3" t="str">
        <x:v>P1</x:v>
      </x:c>
      <x:c r="C3" t="str">
        <x:v>Data</x:v>
      </x:c>
      <x:c r="D3" t="str"/>
    </x:row>
    <x:row r="4">
      <x:c r="A4" t="str">
        <x:v>Blocked</x:v>
      </x:c>
      <x:c r="B4" t="str">
        <x:v>P2</x:v>
      </x:c>
      <x:c r="C4" t="str">
        <x:v>Backend</x:v>
      </x:c>
      <x:c r="D4" t="str"/>
    </x:row>
    <x:row r="5">
      <x:c r="A5" t="str">
        <x:v>Done</x:v>
      </x:c>
      <x:c r="B5" t="str"/>
      <x:c r="C5" t="str">
        <x:v>Deploy</x:v>
      </x:c>
      <x:c r="D5" t="str"/>
    </x:row>
    <x:row r="6">
      <x:c r="A6" t="str"/>
      <x:c r="B6" t="str"/>
      <x:c r="C6" t="str">
        <x:v>Verify</x:v>
      </x:c>
      <x:c r="D6" t="str"/>
    </x:row>
  </x:sheetData>
  <x:pageMargins left="0.7" right="0.7" top="0.75" bottom="0.75" header="0.3" footer="0.3"/>
</x:worksheet>
</file>